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ZW4KR\Documents\AA\Python\FORECAST\FINAL\"/>
    </mc:Choice>
  </mc:AlternateContent>
  <xr:revisionPtr revIDLastSave="0" documentId="13_ncr:1_{9047FC8E-CDFC-4816-BE21-D2446C174B88}" xr6:coauthVersionLast="47" xr6:coauthVersionMax="47" xr10:uidLastSave="{00000000-0000-0000-0000-000000000000}"/>
  <bookViews>
    <workbookView xWindow="19090" yWindow="-70" windowWidth="19420" windowHeight="10300" activeTab="4" xr2:uid="{E90159A1-3BFB-4648-A055-7B864A5761BB}"/>
  </bookViews>
  <sheets>
    <sheet name="PARAMETER" sheetId="14" r:id="rId1"/>
    <sheet name="SEGMENT" sheetId="4" r:id="rId2"/>
    <sheet name="CHILE" sheetId="8" r:id="rId3"/>
    <sheet name="PERU" sheetId="12" r:id="rId4"/>
    <sheet name="ECUADOR" sheetId="10" r:id="rId5"/>
    <sheet name="COLOMBIA" sheetId="11" r:id="rId6"/>
    <sheet name="BOLIVIA" sheetId="15" r:id="rId7"/>
  </sheets>
  <definedNames>
    <definedName name="_xlnm._FilterDatabase" localSheetId="6" hidden="1">BOLIVIA!$A$1:$H$109</definedName>
    <definedName name="_xlnm._FilterDatabase" localSheetId="2" hidden="1">CHILE!$A$1:$H$109</definedName>
    <definedName name="_xlnm._FilterDatabase" localSheetId="5" hidden="1">COLOMBIA!$A$1:$H$108</definedName>
    <definedName name="_xlnm._FilterDatabase" localSheetId="4" hidden="1">ECUADOR!$A$1:$H$100</definedName>
    <definedName name="_xlnm._FilterDatabase" localSheetId="3" hidden="1">PERU!$A$1:$H$111</definedName>
    <definedName name="_xlnm._FilterDatabase" localSheetId="1" hidden="1">SEGMENT!$A$1:$B$50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0" l="1"/>
  <c r="D60" i="10"/>
  <c r="C61" i="10"/>
  <c r="D61" i="10"/>
  <c r="C62" i="10"/>
  <c r="D62" i="10"/>
  <c r="C63" i="10"/>
  <c r="D63" i="10"/>
  <c r="C64" i="10"/>
  <c r="D64" i="10"/>
  <c r="C65" i="10"/>
  <c r="D65" i="10"/>
  <c r="C66" i="10"/>
  <c r="D66" i="10"/>
  <c r="C67" i="10"/>
  <c r="D67" i="10"/>
  <c r="C68" i="10"/>
  <c r="D68" i="10"/>
  <c r="C69" i="10"/>
  <c r="D69" i="10"/>
  <c r="C70" i="10"/>
  <c r="D70" i="10"/>
  <c r="C71" i="10"/>
  <c r="D71" i="10"/>
  <c r="C72" i="10"/>
  <c r="D72" i="10"/>
  <c r="C73" i="10"/>
  <c r="D73" i="10"/>
  <c r="C74" i="10"/>
  <c r="D74" i="10"/>
  <c r="C75" i="10"/>
  <c r="D75" i="10"/>
  <c r="C76" i="10"/>
  <c r="D76" i="10"/>
  <c r="C77" i="10"/>
  <c r="D77" i="10"/>
  <c r="C78" i="10"/>
  <c r="D78" i="10"/>
  <c r="C79" i="10"/>
  <c r="D79" i="10"/>
  <c r="C80" i="10"/>
  <c r="D80" i="10"/>
  <c r="C81" i="10"/>
  <c r="D81" i="10"/>
  <c r="C82" i="10"/>
  <c r="D82" i="10"/>
  <c r="C83" i="10"/>
  <c r="D83" i="10"/>
  <c r="C84" i="10"/>
  <c r="D84" i="10"/>
  <c r="C85" i="10"/>
  <c r="D85" i="10"/>
  <c r="C86" i="10"/>
  <c r="D86" i="10"/>
  <c r="C87" i="10"/>
  <c r="D87" i="10"/>
  <c r="C88" i="10"/>
  <c r="D88" i="10"/>
  <c r="C89" i="10"/>
  <c r="D89" i="10"/>
  <c r="C90" i="10"/>
  <c r="D90" i="10"/>
  <c r="C91" i="10"/>
  <c r="D91" i="10"/>
  <c r="C92" i="10"/>
  <c r="D92" i="10"/>
  <c r="C93" i="10"/>
  <c r="D93" i="10"/>
  <c r="C94" i="10"/>
  <c r="D94" i="10"/>
  <c r="C95" i="10"/>
  <c r="D95" i="10"/>
  <c r="C96" i="10"/>
  <c r="D96" i="10"/>
  <c r="C97" i="10"/>
  <c r="D97" i="10"/>
  <c r="C98" i="10"/>
  <c r="D98" i="10"/>
  <c r="C99" i="10"/>
  <c r="D99" i="10"/>
  <c r="C100" i="10"/>
  <c r="D100" i="10"/>
  <c r="C101" i="10"/>
  <c r="D101" i="10"/>
  <c r="C102" i="10"/>
  <c r="D102" i="10"/>
  <c r="C103" i="10"/>
  <c r="D103" i="10"/>
  <c r="C104" i="10"/>
  <c r="D104" i="10"/>
  <c r="C118" i="12"/>
  <c r="D118" i="12"/>
  <c r="D48" i="10"/>
  <c r="C48" i="10"/>
  <c r="C47" i="10"/>
  <c r="D47" i="10"/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2" i="15"/>
  <c r="C58" i="11"/>
  <c r="C59" i="11"/>
  <c r="C60" i="11"/>
  <c r="C61" i="11"/>
  <c r="C62" i="11"/>
  <c r="C63" i="11"/>
  <c r="C64" i="11"/>
  <c r="C65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59" i="10"/>
  <c r="C58" i="10"/>
  <c r="C57" i="10"/>
  <c r="C56" i="10"/>
  <c r="C55" i="10"/>
  <c r="C54" i="10"/>
  <c r="C53" i="10"/>
  <c r="C52" i="10"/>
  <c r="C51" i="10"/>
  <c r="C50" i="10"/>
  <c r="C49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110" i="12"/>
  <c r="C111" i="12"/>
  <c r="C112" i="12"/>
  <c r="C113" i="12"/>
  <c r="C114" i="12"/>
  <c r="C115" i="12"/>
  <c r="C116" i="12"/>
  <c r="C117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2" i="8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4" i="11"/>
  <c r="D65" i="11"/>
  <c r="D3" i="10"/>
  <c r="D47" i="11" l="1"/>
  <c r="D46" i="11"/>
  <c r="D39" i="10"/>
  <c r="D16" i="12"/>
  <c r="D15" i="12"/>
  <c r="D11" i="10"/>
  <c r="D10" i="10"/>
  <c r="D14" i="15" l="1"/>
  <c r="D49" i="15"/>
  <c r="D4" i="15"/>
  <c r="D3" i="15"/>
  <c r="D47" i="15"/>
  <c r="D66" i="15"/>
  <c r="D13" i="15"/>
  <c r="D3" i="8"/>
  <c r="D17" i="8"/>
  <c r="D25" i="8"/>
  <c r="D30" i="8"/>
  <c r="D31" i="8"/>
  <c r="D32" i="8"/>
  <c r="D57" i="8"/>
  <c r="D13" i="8"/>
  <c r="D68" i="8"/>
  <c r="D102" i="8"/>
  <c r="D58" i="8"/>
  <c r="D59" i="8"/>
  <c r="D60" i="8"/>
  <c r="D61" i="8"/>
  <c r="D62" i="8"/>
  <c r="D73" i="8"/>
  <c r="D77" i="8"/>
  <c r="D84" i="8"/>
  <c r="D89" i="8"/>
  <c r="D91" i="8"/>
  <c r="D93" i="8"/>
  <c r="D104" i="8"/>
  <c r="D109" i="8"/>
  <c r="D27" i="8"/>
  <c r="D14" i="8"/>
  <c r="D19" i="15"/>
  <c r="D18" i="15"/>
  <c r="D8" i="15"/>
  <c r="D7" i="15"/>
  <c r="D6" i="15"/>
  <c r="D5" i="15"/>
  <c r="D63" i="15"/>
  <c r="D62" i="15"/>
  <c r="D61" i="15"/>
  <c r="D60" i="15"/>
  <c r="D59" i="15"/>
  <c r="D58" i="15"/>
  <c r="D57" i="15"/>
  <c r="D56" i="15"/>
  <c r="D38" i="15"/>
  <c r="D37" i="15"/>
  <c r="D36" i="15"/>
  <c r="D41" i="15"/>
  <c r="D40" i="15"/>
  <c r="D39" i="15"/>
  <c r="D2" i="15"/>
  <c r="D35" i="15"/>
  <c r="D34" i="15"/>
  <c r="D33" i="15"/>
  <c r="D32" i="15"/>
  <c r="D31" i="15"/>
  <c r="D30" i="15"/>
  <c r="D29" i="15"/>
  <c r="D28" i="15"/>
  <c r="D44" i="15"/>
  <c r="D20" i="15"/>
  <c r="D22" i="15"/>
  <c r="D21" i="15"/>
  <c r="D24" i="15"/>
  <c r="D25" i="15"/>
  <c r="D50" i="15"/>
  <c r="D51" i="15"/>
  <c r="D52" i="15"/>
  <c r="D53" i="15"/>
  <c r="D54" i="15"/>
  <c r="D55" i="15"/>
  <c r="D15" i="15"/>
  <c r="D16" i="15"/>
  <c r="D17" i="15"/>
  <c r="D45" i="15"/>
  <c r="D9" i="15"/>
  <c r="D10" i="15"/>
  <c r="D11" i="15"/>
  <c r="D12" i="15"/>
  <c r="D42" i="15"/>
  <c r="D64" i="15"/>
  <c r="D48" i="15"/>
  <c r="D46" i="15"/>
  <c r="D26" i="15"/>
  <c r="D27" i="15"/>
  <c r="D65" i="15"/>
  <c r="D43" i="15"/>
  <c r="D23" i="15"/>
  <c r="D22" i="11"/>
  <c r="D23" i="11"/>
  <c r="D20" i="11"/>
  <c r="D21" i="11"/>
  <c r="D34" i="11"/>
  <c r="D35" i="11"/>
  <c r="D36" i="11"/>
  <c r="D37" i="11"/>
  <c r="D38" i="11"/>
  <c r="D39" i="11"/>
  <c r="D40" i="11"/>
  <c r="D41" i="11"/>
  <c r="D30" i="11"/>
  <c r="D31" i="11"/>
  <c r="D32" i="11"/>
  <c r="D33" i="11"/>
  <c r="D44" i="11"/>
  <c r="D45" i="11"/>
  <c r="D48" i="11"/>
  <c r="D53" i="11"/>
  <c r="D54" i="11"/>
  <c r="D55" i="11"/>
  <c r="D56" i="11"/>
  <c r="D57" i="11"/>
  <c r="D58" i="11"/>
  <c r="D59" i="11"/>
  <c r="D60" i="11"/>
  <c r="D61" i="11"/>
  <c r="D62" i="11"/>
  <c r="D9" i="11"/>
  <c r="D12" i="11"/>
  <c r="D10" i="11"/>
  <c r="D11" i="11"/>
  <c r="D17" i="11"/>
  <c r="D18" i="11"/>
  <c r="D2" i="11"/>
  <c r="D3" i="11"/>
  <c r="D63" i="11"/>
  <c r="D64" i="11"/>
  <c r="D51" i="11"/>
  <c r="D7" i="11"/>
  <c r="D8" i="11"/>
  <c r="D24" i="11"/>
  <c r="D25" i="11"/>
  <c r="D26" i="11"/>
  <c r="D27" i="11"/>
  <c r="D13" i="11"/>
  <c r="D14" i="11"/>
  <c r="D15" i="11"/>
  <c r="D16" i="11"/>
  <c r="D43" i="11"/>
  <c r="D49" i="11"/>
  <c r="D50" i="11"/>
  <c r="D28" i="11"/>
  <c r="D29" i="11"/>
  <c r="D52" i="11"/>
  <c r="D6" i="11"/>
  <c r="D19" i="11"/>
  <c r="D42" i="11"/>
  <c r="D5" i="11"/>
  <c r="D4" i="10"/>
  <c r="D5" i="10"/>
  <c r="D6" i="10"/>
  <c r="D7" i="10"/>
  <c r="D8" i="10"/>
  <c r="D9" i="10"/>
  <c r="D12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6" i="10"/>
  <c r="D37" i="10"/>
  <c r="D34" i="10"/>
  <c r="D35" i="10"/>
  <c r="D38" i="10"/>
  <c r="D40" i="10"/>
  <c r="D41" i="10"/>
  <c r="D42" i="10"/>
  <c r="D43" i="10"/>
  <c r="D44" i="10"/>
  <c r="D45" i="10"/>
  <c r="D13" i="10"/>
  <c r="D14" i="10"/>
  <c r="D15" i="10"/>
  <c r="D16" i="10"/>
  <c r="D46" i="10"/>
  <c r="D49" i="10"/>
  <c r="D50" i="10"/>
  <c r="D51" i="10"/>
  <c r="D52" i="10"/>
  <c r="D53" i="10"/>
  <c r="D54" i="10"/>
  <c r="D55" i="10"/>
  <c r="D56" i="10"/>
  <c r="D57" i="10"/>
  <c r="D58" i="10"/>
  <c r="D59" i="10"/>
  <c r="D2" i="10"/>
  <c r="D3" i="12"/>
  <c r="D4" i="12"/>
  <c r="D5" i="12"/>
  <c r="D6" i="12"/>
  <c r="D7" i="12"/>
  <c r="D8" i="12"/>
  <c r="D9" i="12"/>
  <c r="D10" i="12"/>
  <c r="D11" i="12"/>
  <c r="D13" i="12"/>
  <c r="D14" i="12"/>
  <c r="D12" i="12"/>
  <c r="D18" i="12"/>
  <c r="D27" i="12"/>
  <c r="D28" i="12"/>
  <c r="D29" i="12"/>
  <c r="D30" i="12"/>
  <c r="D31" i="12"/>
  <c r="D32" i="12"/>
  <c r="D33" i="12"/>
  <c r="D34" i="12"/>
  <c r="D35" i="12"/>
  <c r="D36" i="12"/>
  <c r="D37" i="12"/>
  <c r="D17" i="12"/>
  <c r="D43" i="12"/>
  <c r="D44" i="12"/>
  <c r="D45" i="12"/>
  <c r="D46" i="12"/>
  <c r="D47" i="12"/>
  <c r="D48" i="12"/>
  <c r="D49" i="12"/>
  <c r="D50" i="12"/>
  <c r="D51" i="12"/>
  <c r="D38" i="12"/>
  <c r="D39" i="12"/>
  <c r="D40" i="12"/>
  <c r="D41" i="12"/>
  <c r="D42" i="12"/>
  <c r="D52" i="12"/>
  <c r="D61" i="12"/>
  <c r="D62" i="12"/>
  <c r="D63" i="12"/>
  <c r="D64" i="12"/>
  <c r="D65" i="12"/>
  <c r="D66" i="12"/>
  <c r="D67" i="12"/>
  <c r="D68" i="12"/>
  <c r="D69" i="12"/>
  <c r="D75" i="12"/>
  <c r="D76" i="12"/>
  <c r="D77" i="12"/>
  <c r="D91" i="12"/>
  <c r="D92" i="12"/>
  <c r="D93" i="12"/>
  <c r="D101" i="12"/>
  <c r="D102" i="12"/>
  <c r="D103" i="12"/>
  <c r="D53" i="12"/>
  <c r="D54" i="12"/>
  <c r="D55" i="12"/>
  <c r="D56" i="12"/>
  <c r="D57" i="12"/>
  <c r="D58" i="12"/>
  <c r="D59" i="12"/>
  <c r="D60" i="12"/>
  <c r="D70" i="12"/>
  <c r="D71" i="12"/>
  <c r="D72" i="12"/>
  <c r="D73" i="12"/>
  <c r="D74" i="12"/>
  <c r="D19" i="12"/>
  <c r="D20" i="12"/>
  <c r="D21" i="12"/>
  <c r="D22" i="12"/>
  <c r="D23" i="12"/>
  <c r="D24" i="12"/>
  <c r="D25" i="12"/>
  <c r="D26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4" i="12"/>
  <c r="D95" i="12"/>
  <c r="D96" i="12"/>
  <c r="D97" i="12"/>
  <c r="D98" i="12"/>
  <c r="D99" i="12"/>
  <c r="D100" i="12"/>
  <c r="D104" i="12"/>
  <c r="D2" i="12"/>
  <c r="D4" i="8"/>
  <c r="D5" i="8"/>
  <c r="D6" i="8"/>
  <c r="D7" i="8"/>
  <c r="D8" i="8"/>
  <c r="D9" i="8"/>
  <c r="D10" i="8"/>
  <c r="D11" i="8"/>
  <c r="D12" i="8"/>
  <c r="D15" i="8"/>
  <c r="D16" i="8"/>
  <c r="D26" i="8"/>
  <c r="D28" i="8"/>
  <c r="D29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63" i="8"/>
  <c r="D64" i="8"/>
  <c r="D65" i="8"/>
  <c r="D66" i="8"/>
  <c r="D67" i="8"/>
  <c r="D69" i="8"/>
  <c r="D70" i="8"/>
  <c r="D71" i="8"/>
  <c r="D72" i="8"/>
  <c r="D18" i="8"/>
  <c r="D19" i="8"/>
  <c r="D20" i="8"/>
  <c r="D21" i="8"/>
  <c r="D22" i="8"/>
  <c r="D23" i="8"/>
  <c r="D24" i="8"/>
  <c r="D74" i="8"/>
  <c r="D75" i="8"/>
  <c r="D76" i="8"/>
  <c r="D78" i="8"/>
  <c r="D79" i="8"/>
  <c r="D80" i="8"/>
  <c r="D81" i="8"/>
  <c r="D82" i="8"/>
  <c r="D83" i="8"/>
  <c r="D85" i="8"/>
  <c r="D86" i="8"/>
  <c r="D87" i="8"/>
  <c r="D88" i="8"/>
  <c r="D90" i="8"/>
  <c r="D92" i="8"/>
  <c r="D94" i="8"/>
  <c r="D95" i="8"/>
  <c r="D96" i="8"/>
  <c r="D97" i="8"/>
  <c r="D98" i="8"/>
  <c r="D99" i="8"/>
  <c r="D100" i="8"/>
  <c r="D101" i="8"/>
  <c r="D103" i="8"/>
  <c r="D105" i="8"/>
  <c r="D106" i="8"/>
  <c r="D107" i="8"/>
  <c r="D108" i="8"/>
  <c r="D2" i="8"/>
</calcChain>
</file>

<file path=xl/sharedStrings.xml><?xml version="1.0" encoding="utf-8"?>
<sst xmlns="http://schemas.openxmlformats.org/spreadsheetml/2006/main" count="2122" uniqueCount="603">
  <si>
    <t>COLORADO</t>
  </si>
  <si>
    <t>BLAZER</t>
  </si>
  <si>
    <t>GROOVE</t>
  </si>
  <si>
    <t>SILVERADO</t>
  </si>
  <si>
    <t>SUBURBAN</t>
  </si>
  <si>
    <t>TAHOE</t>
  </si>
  <si>
    <t>TRAVERSE</t>
  </si>
  <si>
    <t>NEW ONIX</t>
  </si>
  <si>
    <t>ONIX SEDAN</t>
  </si>
  <si>
    <t>N400</t>
  </si>
  <si>
    <t>TRAILBLAZER</t>
  </si>
  <si>
    <t>NEW CAPTIVA</t>
  </si>
  <si>
    <t>SPIN</t>
  </si>
  <si>
    <t>NEW TRACKER</t>
  </si>
  <si>
    <t>BOLT</t>
  </si>
  <si>
    <t>D-MAX</t>
  </si>
  <si>
    <t>NEW MONTANA</t>
  </si>
  <si>
    <t>BLAZER EV</t>
  </si>
  <si>
    <t>NEW SAIL HB</t>
  </si>
  <si>
    <t>NEW SAIL SEDAN</t>
  </si>
  <si>
    <t>TRACKER</t>
  </si>
  <si>
    <t>EQUINOX</t>
  </si>
  <si>
    <t>CAPTIVA</t>
  </si>
  <si>
    <t>EQUINOX EV</t>
  </si>
  <si>
    <t>SPARK EUV</t>
  </si>
  <si>
    <t>F510S</t>
  </si>
  <si>
    <t>LYRIQ</t>
  </si>
  <si>
    <t>LT MT</t>
  </si>
  <si>
    <t>LTZ MT</t>
  </si>
  <si>
    <t>PREMIER AT</t>
  </si>
  <si>
    <t>RS MT</t>
  </si>
  <si>
    <t>RS AT</t>
  </si>
  <si>
    <t>LS MT</t>
  </si>
  <si>
    <t>LT AT</t>
  </si>
  <si>
    <t>LTZ AT</t>
  </si>
  <si>
    <t>N400 MOVE</t>
  </si>
  <si>
    <t>ONIX</t>
  </si>
  <si>
    <t>ONIX PLUS</t>
  </si>
  <si>
    <t>CAPTIVA NEV</t>
  </si>
  <si>
    <t>E260S+</t>
  </si>
  <si>
    <t>BOLT EUV</t>
  </si>
  <si>
    <t>S10</t>
  </si>
  <si>
    <t>JOY</t>
  </si>
  <si>
    <t>JOY PLUS</t>
  </si>
  <si>
    <t>NEW TRAVERSE</t>
  </si>
  <si>
    <t>CADILLAC</t>
  </si>
  <si>
    <t>GMICA</t>
  </si>
  <si>
    <t>OTROS</t>
  </si>
  <si>
    <t>TRIM</t>
  </si>
  <si>
    <t>PREMIER MT</t>
  </si>
  <si>
    <t>HC AT</t>
  </si>
  <si>
    <t>WT AT</t>
  </si>
  <si>
    <t>WT MT 4X2</t>
  </si>
  <si>
    <t>WT MT 4X4</t>
  </si>
  <si>
    <t>Z71 AT</t>
  </si>
  <si>
    <t>MT 4X2</t>
  </si>
  <si>
    <t>MT 4X4</t>
  </si>
  <si>
    <t>BLACK MT</t>
  </si>
  <si>
    <t>CARGO</t>
  </si>
  <si>
    <t>CARGO FULL</t>
  </si>
  <si>
    <t>PASS</t>
  </si>
  <si>
    <t>PASS FULL</t>
  </si>
  <si>
    <t>ZR2</t>
  </si>
  <si>
    <t>LS AT</t>
  </si>
  <si>
    <t>EUV</t>
  </si>
  <si>
    <t>PHEV</t>
  </si>
  <si>
    <t>Retail Sales</t>
  </si>
  <si>
    <t>PROTOTIPO</t>
  </si>
  <si>
    <t>RS</t>
  </si>
  <si>
    <t>Wholesales</t>
  </si>
  <si>
    <t>Registration</t>
  </si>
  <si>
    <t>Day Supply Dealer Stock</t>
  </si>
  <si>
    <t>Day Supply PS Available</t>
  </si>
  <si>
    <t>Days of Sales</t>
  </si>
  <si>
    <t>Dealer Stock</t>
  </si>
  <si>
    <t>Market Share</t>
  </si>
  <si>
    <t>Mix (% of Country)</t>
  </si>
  <si>
    <t>Plant Stock Available</t>
  </si>
  <si>
    <t>Plant Stock not Available</t>
  </si>
  <si>
    <t>Plant Stock Total</t>
  </si>
  <si>
    <t>Production</t>
  </si>
  <si>
    <t>Transit</t>
  </si>
  <si>
    <t>LTZ CVT</t>
  </si>
  <si>
    <t>HC</t>
  </si>
  <si>
    <t>LT AT 4x4</t>
  </si>
  <si>
    <t>LT MT 4x2</t>
  </si>
  <si>
    <t>LT MT 4x4</t>
  </si>
  <si>
    <t>Z71</t>
  </si>
  <si>
    <t>RS CVT</t>
  </si>
  <si>
    <t>N400 CARGO</t>
  </si>
  <si>
    <t>MT</t>
  </si>
  <si>
    <t>MT AC</t>
  </si>
  <si>
    <t>MIDNIGHT</t>
  </si>
  <si>
    <t>3.6 LT AWD</t>
  </si>
  <si>
    <t>3.6 RS AWD</t>
  </si>
  <si>
    <t>3.6 PREMIER AWD</t>
  </si>
  <si>
    <t>3.0 HC DIESEL</t>
  </si>
  <si>
    <t>5.3 LT TRAILBOSS</t>
  </si>
  <si>
    <t>5.3 Z71 AT</t>
  </si>
  <si>
    <t>EV</t>
  </si>
  <si>
    <t>EV LI</t>
  </si>
  <si>
    <t>PHEV LI</t>
  </si>
  <si>
    <t>NAMEPLATE</t>
  </si>
  <si>
    <t>NAMEPLATE COUNTRY</t>
  </si>
  <si>
    <t>TRIM 1</t>
  </si>
  <si>
    <t>TRIM 3</t>
  </si>
  <si>
    <t>PARAMETER</t>
  </si>
  <si>
    <t xml:space="preserve">TRIM 2 </t>
  </si>
  <si>
    <t>CN202S</t>
  </si>
  <si>
    <t>NEW CAPTIVA Lv.2 AT 5 PAX</t>
  </si>
  <si>
    <t>NEW CAPTIVA Lv.2 MT 5 PAX</t>
  </si>
  <si>
    <t>NEW CAPTIVA Lv.3 AT 7 PAX</t>
  </si>
  <si>
    <t>NEW CAPTIVA Lv.3 MT 7 PAX</t>
  </si>
  <si>
    <t>S10 CREW CAB 2.8 DIESEL HIGH COUNTRY AT</t>
  </si>
  <si>
    <t>S10 CREW CAB 2.8 DIESEL 4 DR LTZ-AT</t>
  </si>
  <si>
    <t>S10 CREW CAB 2.8 DIESEL 4 DR LTZ</t>
  </si>
  <si>
    <t>S10 CREW CAB 2.8 DIESEL 4 DR LT</t>
  </si>
  <si>
    <t>S10 CREW CAB 2.8 DIESEL 4 DR LS 4x2</t>
  </si>
  <si>
    <t>S10 CREW CAB 2.8 DIESEL 4 DR LS</t>
  </si>
  <si>
    <t>S10 CREW CAB 2.8 DIESEL 4 DR ZL1 AT</t>
  </si>
  <si>
    <t>EQUINOX EV AT</t>
  </si>
  <si>
    <t>GROOVE 1.5 LT MT</t>
  </si>
  <si>
    <t>GROOVE 1.5 PREMIER MT</t>
  </si>
  <si>
    <t>GROOVE 1.5 PREMIER AT</t>
  </si>
  <si>
    <t>GROOVE 1.5 RS MT</t>
  </si>
  <si>
    <t>GROOVE 1.5 RS CVT</t>
  </si>
  <si>
    <t>JOY 1.4L MT</t>
  </si>
  <si>
    <t>JOY SEDAN</t>
  </si>
  <si>
    <t>JOY SEDAN 1.4L  MT</t>
  </si>
  <si>
    <t>MONTANA 1.2T LT MT</t>
  </si>
  <si>
    <t>MONTANA 1.2T LTZ AT</t>
  </si>
  <si>
    <t>MONTANA 1.2T PR AT</t>
  </si>
  <si>
    <t>MONTANA 1.2T PR MT</t>
  </si>
  <si>
    <t>MONTANA 1.2T RS AT</t>
  </si>
  <si>
    <t>N400 MAX 1.5 MT CARGO BASE</t>
  </si>
  <si>
    <t>N400 MAX 1.5 MT CARGO FULL</t>
  </si>
  <si>
    <t>N400 MOVE 1.5 MT PASAJEROS BASE</t>
  </si>
  <si>
    <t>N400 MOVE 1.5 MT PASAJEROS FULL</t>
  </si>
  <si>
    <t>NEW TRAVERSE 3.6 LT</t>
  </si>
  <si>
    <t>NEW TRAVERSE 3.6 PREMIER</t>
  </si>
  <si>
    <t>NEW TRAVERSE 3.6 RS</t>
  </si>
  <si>
    <t>ONIX 1.0T LT MT</t>
  </si>
  <si>
    <t>ONIX 1.0T LTZ MT</t>
  </si>
  <si>
    <t>ONIX 1.0T PREMIER AT</t>
  </si>
  <si>
    <t>ONIX 1.0T RS MT</t>
  </si>
  <si>
    <t>ONIX 1.0T RS AT</t>
  </si>
  <si>
    <t>NEW ONIX PLUS</t>
  </si>
  <si>
    <t>ONIX PLUS SEDAN 1.0T LT AT B</t>
  </si>
  <si>
    <t>ONIX PLUS SEDAN 1.0L LT MT B</t>
  </si>
  <si>
    <t>ONIX PLUS SEDAN 1.2L LS MT A/C B</t>
  </si>
  <si>
    <t>ONIX PLUS SEDAN 1.0L LTZ MT B</t>
  </si>
  <si>
    <t>ONIX PLUS SEDAN 1.0T PREMIER AT B</t>
  </si>
  <si>
    <t>ONIX PLUS SEDAN 1.0L MIDNIGHT MT B</t>
  </si>
  <si>
    <t>310C HB</t>
  </si>
  <si>
    <t>310C HB LT MT</t>
  </si>
  <si>
    <t>310C HB LTZ MT</t>
  </si>
  <si>
    <t>310C HB LTZ CVT</t>
  </si>
  <si>
    <t>310C SEDAN</t>
  </si>
  <si>
    <t>310C Sedan LT MT</t>
  </si>
  <si>
    <t>310C Sedan LTZ MT</t>
  </si>
  <si>
    <t>310C Sedan LTZ CVT</t>
  </si>
  <si>
    <t>TRAILBOSS Z71 5.3 AT</t>
  </si>
  <si>
    <t>SPIN 1.8 LTZ MT</t>
  </si>
  <si>
    <t>SPIN 1.8 LTZ AT</t>
  </si>
  <si>
    <t>SUBURBAN 5.3 V8 LT AT 4WD</t>
  </si>
  <si>
    <t>TAHOE 5.3 V8 LT AT 4WD</t>
  </si>
  <si>
    <t>TRACKER TURBO 1.2T LS AT</t>
  </si>
  <si>
    <t>TRACKER TURBO 1.2T MT</t>
  </si>
  <si>
    <t>TRACKER TURBO 1.2T LTZ AT</t>
  </si>
  <si>
    <t>TRACKER TURBO 1.2T LTZ MT</t>
  </si>
  <si>
    <t>TRACKER TURBO 1.2T PREMIER AT</t>
  </si>
  <si>
    <t>TRACKER TURBO 1.2T RS AT</t>
  </si>
  <si>
    <t>TRAILBLAZER 3.6 LTZ AT 4WD FULL</t>
  </si>
  <si>
    <t>260S PLUS EV - SPARK EV</t>
  </si>
  <si>
    <t>F510S EV</t>
  </si>
  <si>
    <t>F510S PHEV</t>
  </si>
  <si>
    <t>BLAZER EV RS AWD</t>
  </si>
  <si>
    <t>Captiva LT TM</t>
  </si>
  <si>
    <t>Captiva LT TA</t>
  </si>
  <si>
    <t>Captiva TA 7 pax premier</t>
  </si>
  <si>
    <t>Captiva TM 7 pax premier</t>
  </si>
  <si>
    <t>Colorado HC AT</t>
  </si>
  <si>
    <t>COLORADO LTZ AT</t>
  </si>
  <si>
    <t>COLORADO WT AT</t>
  </si>
  <si>
    <t>Colorado LT TM</t>
  </si>
  <si>
    <t>COLORADO Z71</t>
  </si>
  <si>
    <t>D-MAX CRDI HI RIDE 2.5 CD 4X2 TM</t>
  </si>
  <si>
    <t>D-MAX TD 2.5 CS 4X2 TM</t>
  </si>
  <si>
    <t>D-MAX CRDI STD 2.5 CD 4X2 TM</t>
  </si>
  <si>
    <t>D-MAX CRDI AC 2.5 CS 4X4 TM</t>
  </si>
  <si>
    <t>D-MAX CRDI STD 2.5 CD 4X4 TM</t>
  </si>
  <si>
    <t>PREMIER MT 4X4</t>
  </si>
  <si>
    <t>D-MAX CRDI PREMIER 2.5 CD 4X4 TM</t>
  </si>
  <si>
    <t>New D-Max 4x2</t>
  </si>
  <si>
    <t>New D-Max 4x4</t>
  </si>
  <si>
    <t>Equinox EV</t>
  </si>
  <si>
    <t>Equinox EV LT</t>
  </si>
  <si>
    <t>NEW GROOVE</t>
  </si>
  <si>
    <t xml:space="preserve">NEW GROOVE LTZ AC 1.5 5P 4X2 TM </t>
  </si>
  <si>
    <t>GROOVE LTZ</t>
  </si>
  <si>
    <t>GROOVE PREMIER</t>
  </si>
  <si>
    <t>310S MT Premier</t>
  </si>
  <si>
    <t>NEW GROOVE RS AC 1.5 5P 4X2 TM</t>
  </si>
  <si>
    <t>JOY HB BLACK</t>
  </si>
  <si>
    <t>JOY NB BLACK</t>
  </si>
  <si>
    <t>MONTANA</t>
  </si>
  <si>
    <t>MONTANA PREMIER TM</t>
  </si>
  <si>
    <t>MONTANA RS TA</t>
  </si>
  <si>
    <t>N400 PASAJEROS</t>
  </si>
  <si>
    <t>ONIX HB LT</t>
  </si>
  <si>
    <t>Onix HB Turbo RS MT</t>
  </si>
  <si>
    <t>Onix NB Turbo LTZ MT</t>
  </si>
  <si>
    <t>Onix NB Turbo Premier AT</t>
  </si>
  <si>
    <t>TAHOE Z71 AC 5.3 5P 4x4 TA</t>
  </si>
  <si>
    <t>TRACKER LT TURBO 1.2 TA</t>
  </si>
  <si>
    <t>TRACKER LT TURBO 1.2 TM</t>
  </si>
  <si>
    <t>TRACKER LTZ TURBO 1.2 TA</t>
  </si>
  <si>
    <t>TRACKER LTZ TURBO MCM AT</t>
  </si>
  <si>
    <t>TRACKER PREMIER TURBO 1.2 TA</t>
  </si>
  <si>
    <t>TRACKER RS TURBO 1.2 TA</t>
  </si>
  <si>
    <t>TRAILBLAZER AC 2.8 5P 4x4 TA</t>
  </si>
  <si>
    <t>Captiva EV</t>
  </si>
  <si>
    <t>F510s</t>
  </si>
  <si>
    <t>Captiva PHEV</t>
  </si>
  <si>
    <t>F510s PHEV</t>
  </si>
  <si>
    <t>CHILE</t>
  </si>
  <si>
    <t>PERU</t>
  </si>
  <si>
    <t>ECUADOR</t>
  </si>
  <si>
    <t>COLOMBIA</t>
  </si>
  <si>
    <t>Producción</t>
  </si>
  <si>
    <t>Llegadas</t>
  </si>
  <si>
    <t>Wholesale</t>
  </si>
  <si>
    <t>Retail GDV</t>
  </si>
  <si>
    <t>Patentes</t>
  </si>
  <si>
    <t>Plant Stock</t>
  </si>
  <si>
    <t>MATRICULAS</t>
  </si>
  <si>
    <t>RETAIL</t>
  </si>
  <si>
    <t>WHOLESALE</t>
  </si>
  <si>
    <t>INV RED</t>
  </si>
  <si>
    <t>DIAS RED</t>
  </si>
  <si>
    <t>MS</t>
  </si>
  <si>
    <t>PRODUCCION</t>
  </si>
  <si>
    <t>INV PLANTA</t>
  </si>
  <si>
    <t>DIAS PLANTA</t>
  </si>
  <si>
    <t>Matrículas</t>
  </si>
  <si>
    <t>MS%</t>
  </si>
  <si>
    <t>Inv. Final GM</t>
  </si>
  <si>
    <t>DOH GM</t>
  </si>
  <si>
    <t>Retail</t>
  </si>
  <si>
    <t>Inv. Final Dealer</t>
  </si>
  <si>
    <t>DOH Dealer</t>
  </si>
  <si>
    <t>CAMARO</t>
  </si>
  <si>
    <t>SS AT</t>
  </si>
  <si>
    <t>FRR</t>
  </si>
  <si>
    <t>FTR</t>
  </si>
  <si>
    <t>FVR</t>
  </si>
  <si>
    <t>NPR</t>
  </si>
  <si>
    <t>NPS</t>
  </si>
  <si>
    <t>NQR</t>
  </si>
  <si>
    <t>N-RD</t>
  </si>
  <si>
    <t>N-RS</t>
  </si>
  <si>
    <t>SAIL 3 NB</t>
  </si>
  <si>
    <t>SAIL NB</t>
  </si>
  <si>
    <t>N300</t>
  </si>
  <si>
    <t>FVZ</t>
  </si>
  <si>
    <t>VISTIQ</t>
  </si>
  <si>
    <t>NKR</t>
  </si>
  <si>
    <t>2.8 PREMIER</t>
  </si>
  <si>
    <t>EUV LI</t>
  </si>
  <si>
    <t>LTZ 3.0 AT</t>
  </si>
  <si>
    <t>LT</t>
  </si>
  <si>
    <t>6.2L SS AT RWD</t>
  </si>
  <si>
    <t>PREMIER CVT</t>
  </si>
  <si>
    <t>ACTIV AT</t>
  </si>
  <si>
    <t>WT MT 4x2</t>
  </si>
  <si>
    <t>LTZ</t>
  </si>
  <si>
    <t>5.3 LTZ GASOLINE</t>
  </si>
  <si>
    <t>WT MT 4x4</t>
  </si>
  <si>
    <t>WT AT 4x4</t>
  </si>
  <si>
    <t>Joy HB BASE</t>
  </si>
  <si>
    <t>ONIX NB LT</t>
  </si>
  <si>
    <t>JOY NB</t>
  </si>
  <si>
    <t>SAIL</t>
  </si>
  <si>
    <t>JOY HB</t>
  </si>
  <si>
    <t>SAIL A/C</t>
  </si>
  <si>
    <t>SAIL STD</t>
  </si>
  <si>
    <t>OBSOLETO</t>
  </si>
  <si>
    <t>OTHER</t>
  </si>
  <si>
    <t>Other</t>
  </si>
  <si>
    <t>SPARK GT</t>
  </si>
  <si>
    <t>SPARK GT MCM</t>
  </si>
  <si>
    <t>BEAT</t>
  </si>
  <si>
    <t>SAIL CLASSIC</t>
  </si>
  <si>
    <t>SAIL S3</t>
  </si>
  <si>
    <t>PRISMA</t>
  </si>
  <si>
    <t>ONIX PLUS SEDAN 1.2L LS MT</t>
  </si>
  <si>
    <t>SPARK GT 1.2 LT MT</t>
  </si>
  <si>
    <t>SPARK GT 1.2 LT MT BASE</t>
  </si>
  <si>
    <t>SPARK GT 1.2 LS MT</t>
  </si>
  <si>
    <t>SPARK GT 1.2 LS MT PLUS</t>
  </si>
  <si>
    <t>SPARK GT MCM LS MT</t>
  </si>
  <si>
    <t>SPARK GT MCM LS MT PLUS</t>
  </si>
  <si>
    <t>SPARK GT MCM LT MT</t>
  </si>
  <si>
    <t>BEAT LT BASE</t>
  </si>
  <si>
    <t>BEAT LT BASE + AC</t>
  </si>
  <si>
    <t>BEAT LT FULL</t>
  </si>
  <si>
    <t>SAIL SEDAN 1.4 MT BASE</t>
  </si>
  <si>
    <t>SAIL SEDAN 1.4 MT</t>
  </si>
  <si>
    <t>SAIL SEDAN 1.4 LT MT FULL</t>
  </si>
  <si>
    <t>SAIL 1.5 LS MT</t>
  </si>
  <si>
    <t>SAIL 1.5 LT MT</t>
  </si>
  <si>
    <t>SAIL 1.5 LT MT FULL</t>
  </si>
  <si>
    <t xml:space="preserve">PRISMA 1.4L LT </t>
  </si>
  <si>
    <t>PRISMA 1.4L LTZ MT</t>
  </si>
  <si>
    <t>PRISMA 1.4L LTZ AT</t>
  </si>
  <si>
    <t>ONIX 1.4L LT MT</t>
  </si>
  <si>
    <t>ONIX 1.4L LTZ MT</t>
  </si>
  <si>
    <t>ONIX 1.4L LTZ AT</t>
  </si>
  <si>
    <t>ONIX ACTIVE MT</t>
  </si>
  <si>
    <t>ONIX PLUS SEDAN 1.2L LS MT A/C</t>
  </si>
  <si>
    <t>ONIX PLUS SEDAN 1.0L LT MT</t>
  </si>
  <si>
    <t>ONIX PLUS SEDAN 1.2L LT MT</t>
  </si>
  <si>
    <t>ONIX PLUS SEDAN 1.0T PREMIER AT</t>
  </si>
  <si>
    <t>ONIX PLUS SEDAN 1.0L LTZ AT</t>
  </si>
  <si>
    <t>CRUZE</t>
  </si>
  <si>
    <t>CRUZE SEDAN 1.8 LS MT FULL</t>
  </si>
  <si>
    <t>CRUZE SEDAN 1.8 LS AT PREMIUM</t>
  </si>
  <si>
    <t>CRUZE D2</t>
  </si>
  <si>
    <t>CRUZE SEDAN 1.4T LT MT</t>
  </si>
  <si>
    <t>COBALT</t>
  </si>
  <si>
    <t>COBALT 1.8 LTZ MT</t>
  </si>
  <si>
    <t>COBALT 1.8 LTZ AT</t>
  </si>
  <si>
    <t>K216</t>
  </si>
  <si>
    <t>K216 1.5 LS MT</t>
  </si>
  <si>
    <t>K216 1.5 LT MT</t>
  </si>
  <si>
    <t>K216 1.5 LTZ AT</t>
  </si>
  <si>
    <t xml:space="preserve">BOLT </t>
  </si>
  <si>
    <t>CAMARO COUPÉ 6.2 V8 SS AT</t>
  </si>
  <si>
    <t>ORLANDO</t>
  </si>
  <si>
    <t>ORLANDO 2.4 LT AT</t>
  </si>
  <si>
    <t>SPIN ACTIVE MT</t>
  </si>
  <si>
    <t>SPIN ACTIVE 3F AT</t>
  </si>
  <si>
    <t>TRACKER 1.8 LS MT 2WD</t>
  </si>
  <si>
    <t>TRACKER 1.8 LT MT 2WD</t>
  </si>
  <si>
    <t>TRACKER 1.8 LT AT FULL AWD</t>
  </si>
  <si>
    <t>CAPTIVA 2.4 LS MT 2WD</t>
  </si>
  <si>
    <t>CAPTIVA 2.4 LS AT 2WD</t>
  </si>
  <si>
    <t>CAPTIVA 2.4 LS MT 2WD FULL</t>
  </si>
  <si>
    <t>CAPTIVA 2.4 LS AT 2WD FULL</t>
  </si>
  <si>
    <t>CAPTIVA 2.4 LT AT AWD FULL DELUXE</t>
  </si>
  <si>
    <t>EQUINOX LT AT</t>
  </si>
  <si>
    <t>EQUINOX LTZ AT</t>
  </si>
  <si>
    <t>TRAVERSE 3.6 LT AT FWD</t>
  </si>
  <si>
    <t>TRAVERSE 3.6 LT AT AWD</t>
  </si>
  <si>
    <t>N300 MOVE</t>
  </si>
  <si>
    <t>N300 MOVE 1.2 MT PASAJEROS BASE</t>
  </si>
  <si>
    <t>N300 MOVE 1.2 MT PASAJEROS FULL</t>
  </si>
  <si>
    <t>N300 MAX</t>
  </si>
  <si>
    <t>N300 MAX 1.2 MT CARGO BASE</t>
  </si>
  <si>
    <t>N300 MAX 1.2 MT CARGO FULL</t>
  </si>
  <si>
    <t>N300 WORK</t>
  </si>
  <si>
    <t>N300 WORK 1.5 MT 2WD</t>
  </si>
  <si>
    <t>CN100V</t>
  </si>
  <si>
    <t>CN100V 1.2 MT MOVE</t>
  </si>
  <si>
    <t>CN100V 1.2 MT MOVE AC</t>
  </si>
  <si>
    <t>S10 2.8 LT MT 4WD</t>
  </si>
  <si>
    <t>S10 2.8 LT MT 4WD ABS DAB</t>
  </si>
  <si>
    <t>S10 2.8 LTZ MT 4WD FULL</t>
  </si>
  <si>
    <t>S10 2.8 LTZ AT 4WD FULL</t>
  </si>
  <si>
    <t>S10 3.6 LTZ AT 2WD</t>
  </si>
  <si>
    <t>S10 3.6 LTZ AT 2WD FULL</t>
  </si>
  <si>
    <t>S10 3.6 LTZ AT 4WD FULL</t>
  </si>
  <si>
    <t>S10 CREW CAB 2.8 DIESEL 4 MIDNIGHT AT</t>
  </si>
  <si>
    <t>LLEGADAS</t>
  </si>
  <si>
    <t>PRODUCCIÓN</t>
  </si>
  <si>
    <t>STOCK DEALER</t>
  </si>
  <si>
    <t>STOCK GM</t>
  </si>
  <si>
    <t>TRANSITO</t>
  </si>
  <si>
    <t>01. JOY NB</t>
  </si>
  <si>
    <t>02. JOY HB</t>
  </si>
  <si>
    <t>03. ONIX TURBO NB</t>
  </si>
  <si>
    <t>04. ONIX TURBO HB</t>
  </si>
  <si>
    <t>07. TRACKER TURBO</t>
  </si>
  <si>
    <t>08. CAPTIVA TURBO</t>
  </si>
  <si>
    <t>10. EQUINOX</t>
  </si>
  <si>
    <t>11. EQUINOX EV</t>
  </si>
  <si>
    <t>12. BLAZER</t>
  </si>
  <si>
    <t>13. BLAZER EV</t>
  </si>
  <si>
    <t>14. TRAVERSE</t>
  </si>
  <si>
    <t>15. TAHOE</t>
  </si>
  <si>
    <t>18. COLORADO</t>
  </si>
  <si>
    <t>19. SILVERADO</t>
  </si>
  <si>
    <t xml:space="preserve">20. SPIN </t>
  </si>
  <si>
    <t>17. MONTANA</t>
  </si>
  <si>
    <t>22. TAXI</t>
  </si>
  <si>
    <t>21. N400</t>
  </si>
  <si>
    <t>16. CAMARO</t>
  </si>
  <si>
    <t>24. GMICA</t>
  </si>
  <si>
    <t>06. SPARK EV</t>
  </si>
  <si>
    <t>05. ONIX SUV</t>
  </si>
  <si>
    <t>09. CAPTIVA PHEV</t>
  </si>
  <si>
    <t>09. CAPTIVA EV</t>
  </si>
  <si>
    <t>23. CADILLAC</t>
  </si>
  <si>
    <t>25. OTROS</t>
  </si>
  <si>
    <t>Drops/Old Versions</t>
  </si>
  <si>
    <t>LT CVT 5P</t>
  </si>
  <si>
    <t>PREMIER CVT 7P</t>
  </si>
  <si>
    <t>RS 3.6 AT</t>
  </si>
  <si>
    <t>PREMIER</t>
  </si>
  <si>
    <t>SS</t>
  </si>
  <si>
    <t>ZL1</t>
  </si>
  <si>
    <t>SPARK EV</t>
  </si>
  <si>
    <t>CARBON PREMIER</t>
  </si>
  <si>
    <t>CARBON RS</t>
  </si>
  <si>
    <t>TAXI</t>
  </si>
  <si>
    <t>LS MT (D)-MCM</t>
  </si>
  <si>
    <t>LS AT (D)-MCM</t>
  </si>
  <si>
    <t>LTZ AT (D)-MCM</t>
  </si>
  <si>
    <t>PREMIER AT (D)-MCM</t>
  </si>
  <si>
    <t>RS-MCM</t>
  </si>
  <si>
    <t>TRAVERSE LT  (MidNight)</t>
  </si>
  <si>
    <t>5.3 LT 4X4</t>
  </si>
  <si>
    <t>5.3 Z71 4X4</t>
  </si>
  <si>
    <t>MCM MT 4X4 (RFL)</t>
  </si>
  <si>
    <t>MCM Z71 AT 4X4 (PRB)</t>
  </si>
  <si>
    <t>MCM HIGHCOUNTRY AT 4X4 (RG0)</t>
  </si>
  <si>
    <t xml:space="preserve"> LTZ MT</t>
  </si>
  <si>
    <t>PASAJEROS FULL</t>
  </si>
  <si>
    <t>F510S (EV)</t>
  </si>
  <si>
    <t>BASE</t>
  </si>
  <si>
    <t>LT (BLACK)</t>
  </si>
  <si>
    <t>LT MT (D)-MCM</t>
  </si>
  <si>
    <t>LT AT (D)-MCM</t>
  </si>
  <si>
    <t>SONIC</t>
  </si>
  <si>
    <t>SAIL SEDAN</t>
  </si>
  <si>
    <t>SEGMENT</t>
  </si>
  <si>
    <t>CONCAT</t>
  </si>
  <si>
    <t>BOLIVIA</t>
  </si>
  <si>
    <t>Arrivals</t>
  </si>
  <si>
    <t>NEW ONIX 1.0 TURBO LT MT</t>
  </si>
  <si>
    <t>NEW ONIX RS 1.0 TURBO LT3 MT</t>
  </si>
  <si>
    <t>NEW ONIX 1.0 TURBO PREMIER AT</t>
  </si>
  <si>
    <t>NEW TRACKER 1.2 TURBO LS MT</t>
  </si>
  <si>
    <t>NEW TRACKER 1.2 TURBO LS AT</t>
  </si>
  <si>
    <t>NEW TRACKER 1.2 TURBO LTZ MT</t>
  </si>
  <si>
    <t>NEW TRACKER 1.2 TURBO LTZ AT</t>
  </si>
  <si>
    <t>NEW TRACKER 1.2 TURBO RS AT</t>
  </si>
  <si>
    <t>NEW TRACKER 1.2 TURBO PREMIER AT</t>
  </si>
  <si>
    <t>NEW MONTANA 1.2T LT MT</t>
  </si>
  <si>
    <t>NEW MONTANA 1.2T LT AT</t>
  </si>
  <si>
    <t>NEW MONTANTANA 1.2T RS AT</t>
  </si>
  <si>
    <t>CAPTIVA PHEV</t>
  </si>
  <si>
    <t>CAPTIVA EV</t>
  </si>
  <si>
    <t>GROOVE RS MT</t>
  </si>
  <si>
    <t>GROOVE RS CVT</t>
  </si>
  <si>
    <t>SILVERADO TRAIL BOSS</t>
  </si>
  <si>
    <t xml:space="preserve">TRAVERSE </t>
  </si>
  <si>
    <t>NEW ONIX 1.0 TURBO BASE MT</t>
  </si>
  <si>
    <t>NEW ONIX RS 1.0 TURBO LT3 AT</t>
  </si>
  <si>
    <t>TRIM 2</t>
  </si>
  <si>
    <t>N300-Z MAX</t>
  </si>
  <si>
    <t>N300-Z MOVE</t>
  </si>
  <si>
    <t>N300 PU</t>
  </si>
  <si>
    <t>NEW SPARK GT 1.2 PREMIER</t>
  </si>
  <si>
    <t>ONIX 1.4L ACTIV MT</t>
  </si>
  <si>
    <t>NEW ONIX 1.0T LT MT</t>
  </si>
  <si>
    <t>NEW ONIX 1.0T RS MT</t>
  </si>
  <si>
    <t>NEW ONIX 1.0T LTZ MT</t>
  </si>
  <si>
    <t>NEW ONIX 1.0T PREMIER AT</t>
  </si>
  <si>
    <t>BEAT 1.2 PREMIER MT</t>
  </si>
  <si>
    <t>SAIL S3 1.5 LT MT</t>
  </si>
  <si>
    <t>SAIL S3 1.5 LT MT FULL</t>
  </si>
  <si>
    <t>SAIL S3 1.5 LT AT FULL</t>
  </si>
  <si>
    <t>NEW ONIX PLUS 1.0T LT MT</t>
  </si>
  <si>
    <t>NEW ONIX PLUS 1.0T LTZ MT</t>
  </si>
  <si>
    <t>NEW ONIX PLUS 1.0T PREMIER AT</t>
  </si>
  <si>
    <t>NEW TRACKER 1.2T LS MT</t>
  </si>
  <si>
    <t>NEW TRACKER 1.2T LTZ MT</t>
  </si>
  <si>
    <t>NEW TRACKER 1.2T LS AT</t>
  </si>
  <si>
    <t>NEW TRACKER 1.2T LTZ AT</t>
  </si>
  <si>
    <t>NEW TRACKER 1.2T RS AT</t>
  </si>
  <si>
    <t>NEW TRACKER 1.2T PREMIER AT</t>
  </si>
  <si>
    <t>NEW CAPTIVA 1.5T LTZ MT</t>
  </si>
  <si>
    <t>NEW CAPTIVA 1.5T LTZ AT</t>
  </si>
  <si>
    <t>NEW CAPTIVA 1.5T PREMIER MT</t>
  </si>
  <si>
    <t>NEW CAPTIVA 1.5T PREMIER AT</t>
  </si>
  <si>
    <t>NEW MONTANA 1.2T PREMIER AT</t>
  </si>
  <si>
    <t>NEW MONTANA 1.2T RS AT</t>
  </si>
  <si>
    <t>SI</t>
  </si>
  <si>
    <t>NO</t>
  </si>
  <si>
    <t>Wholesale GM</t>
  </si>
  <si>
    <t>Stock Final</t>
  </si>
  <si>
    <t>NEW TRAVERSE Z71</t>
  </si>
  <si>
    <t>BLAZER RS 3.6L AWD AT</t>
  </si>
  <si>
    <t>TAHOE LT 5P 5,3L 4WD</t>
  </si>
  <si>
    <t>GROOVE 1.5T RS CVT</t>
  </si>
  <si>
    <t>CRUZE 2</t>
  </si>
  <si>
    <t>ONIX NB</t>
  </si>
  <si>
    <t>CAVALIER</t>
  </si>
  <si>
    <t>SPARK</t>
  </si>
  <si>
    <t>Ventas</t>
  </si>
  <si>
    <t>Pedido</t>
  </si>
  <si>
    <t>Llegadas RT Bolivia</t>
  </si>
  <si>
    <t>OBSOLETA</t>
  </si>
  <si>
    <t>310C NB</t>
  </si>
  <si>
    <t>SUV-D</t>
  </si>
  <si>
    <t>SUV-B</t>
  </si>
  <si>
    <t>SUV-C</t>
  </si>
  <si>
    <t>SPORT</t>
  </si>
  <si>
    <t>PICKUP-D</t>
  </si>
  <si>
    <t>CAR-B</t>
  </si>
  <si>
    <t>PICKUP-C</t>
  </si>
  <si>
    <t>VAN-B</t>
  </si>
  <si>
    <t>PICKUP-E</t>
  </si>
  <si>
    <t>MPV-B</t>
  </si>
  <si>
    <t>SUV-E</t>
  </si>
  <si>
    <t>CAR-A</t>
  </si>
  <si>
    <t>CAR-C</t>
  </si>
  <si>
    <t>310C</t>
  </si>
  <si>
    <t>HV</t>
  </si>
  <si>
    <t>LT BE</t>
  </si>
  <si>
    <t>05. SONIC</t>
  </si>
  <si>
    <t>26. BOLT</t>
  </si>
  <si>
    <t>B&amp;T</t>
  </si>
  <si>
    <t>TRAVERSE Z71</t>
  </si>
  <si>
    <t>08. BOLT</t>
  </si>
  <si>
    <t>EQUINOX RS AT</t>
  </si>
  <si>
    <t>SONIC MHEV</t>
  </si>
  <si>
    <t>SONIC RS AT MHEV</t>
  </si>
  <si>
    <t>SONIC PRIME AT MHEV</t>
  </si>
  <si>
    <t>PRIME AT</t>
  </si>
  <si>
    <t>SONIC ACTIV AT</t>
  </si>
  <si>
    <t>SONIC LT AT</t>
  </si>
  <si>
    <t>SONIC RS AT</t>
  </si>
  <si>
    <t>SONIC PRIME AT</t>
  </si>
  <si>
    <t>GROOVE 1.5 LTZ MT</t>
  </si>
  <si>
    <t>MHEV</t>
  </si>
  <si>
    <t>S10 ZR2 4X4 AT</t>
  </si>
  <si>
    <t>ZR2 4X4 AT</t>
  </si>
  <si>
    <t>S10 WT 4X2 MT</t>
  </si>
  <si>
    <t>WT 4X2 MT</t>
  </si>
  <si>
    <t>S10 WT 4X4 AT</t>
  </si>
  <si>
    <t>WT 4X4 AT</t>
  </si>
  <si>
    <t>S10 TRAILBOSS 4X4 AT</t>
  </si>
  <si>
    <t>TRAILBOSS 4X4 AT</t>
  </si>
  <si>
    <t>EQUINOX Z71 AT</t>
  </si>
  <si>
    <t>Embarques</t>
  </si>
  <si>
    <t>LT AT MCM</t>
  </si>
  <si>
    <t>SAIL PLUS</t>
  </si>
  <si>
    <t>SAIL HB PREMIER</t>
  </si>
  <si>
    <t>N400 CARGO FULL</t>
  </si>
  <si>
    <t>N400 PASS</t>
  </si>
  <si>
    <t>N400 PASS FULL</t>
  </si>
  <si>
    <t>ISUZU</t>
  </si>
  <si>
    <t>Serie N</t>
  </si>
  <si>
    <t>Serie F</t>
  </si>
  <si>
    <t>Serie C</t>
  </si>
  <si>
    <t>Serie M</t>
  </si>
  <si>
    <t>T&amp;B</t>
  </si>
  <si>
    <t>NLR 511</t>
  </si>
  <si>
    <t>NLR 511 FMS</t>
  </si>
  <si>
    <t>NLR 511 AC</t>
  </si>
  <si>
    <t>NLR 511 AC FMS</t>
  </si>
  <si>
    <t>NMR 513 PARTNER</t>
  </si>
  <si>
    <t>NMR 513 PARTNER FMS</t>
  </si>
  <si>
    <t>NMR 513 PARTNER AC</t>
  </si>
  <si>
    <t>NMR 513 PARTNER AC FMS</t>
  </si>
  <si>
    <t>NMR 613</t>
  </si>
  <si>
    <t>NMR 613 FMS</t>
  </si>
  <si>
    <t>NMR 613 AC</t>
  </si>
  <si>
    <t>NMR 613 AC FMS</t>
  </si>
  <si>
    <t>NPR 815 EIII 5.2</t>
  </si>
  <si>
    <t>NPR 815 EIII 5.2 FMS</t>
  </si>
  <si>
    <t>NPR 815 EIII 5.2 AC</t>
  </si>
  <si>
    <t>NPR 815 EIII 5.2 AC FMS</t>
  </si>
  <si>
    <t>NQR 915 EIII 5.2</t>
  </si>
  <si>
    <t>NQR 915 EIII 5.2 FMS</t>
  </si>
  <si>
    <t>NQR 915 EIII 5.2 AC</t>
  </si>
  <si>
    <t>NQR 915 EIII 5.2 AC FMS</t>
  </si>
  <si>
    <t>NQR 1015 EIII 5.2</t>
  </si>
  <si>
    <t>NQR 1015 EIII 5.2 FMS</t>
  </si>
  <si>
    <t>NQR 1015 EIII 5.2 AC</t>
  </si>
  <si>
    <t>NQR 1015 EIII 5.2 AC FMS</t>
  </si>
  <si>
    <t>FRR 1121 EIII 5.2</t>
  </si>
  <si>
    <t>FRR 1121 EIII 5.2 FMS</t>
  </si>
  <si>
    <t>FRR 1121 EIII 5.2 AC</t>
  </si>
  <si>
    <t>FRR 1121 EIII 5.2 AC FMS</t>
  </si>
  <si>
    <t>FTR 1624 EIII 7,8</t>
  </si>
  <si>
    <t>FTR 1624 EIII 7,8 FMS</t>
  </si>
  <si>
    <t>FTR 1624 EIII AC 7,8</t>
  </si>
  <si>
    <t>FTR 1624 EIII AC 7,8 FMS</t>
  </si>
  <si>
    <t>FVR 1730 EIII CORTO</t>
  </si>
  <si>
    <t>FVR 1730 EIII CORTO FMS</t>
  </si>
  <si>
    <t>FVR 1730 EIII LARGO</t>
  </si>
  <si>
    <t>FVR 1730 EIII LARGO FMS</t>
  </si>
  <si>
    <t>FVZ 2730 EIII CORTO</t>
  </si>
  <si>
    <t>FVZ 2730 EIII CORTO FMS</t>
  </si>
  <si>
    <t>FVZ 2730 EIII LARGO</t>
  </si>
  <si>
    <t>FVZ 2730 EIII LARGO FMS</t>
  </si>
  <si>
    <t>CYZ 51L EII  / CYZ L EII MY 20</t>
  </si>
  <si>
    <t>MT1 1524 EIII PLUS CHASIS</t>
  </si>
  <si>
    <t>MT 134 Bus  /   MT1 1524 EIII CHASIS</t>
  </si>
  <si>
    <t>MT134S RETARDER  /  MT1 1524 EIII CHASIS 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</si>
</sst>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2" fillId="3" borderId="0" xfId="3"/>
    <xf numFmtId="0" fontId="2" fillId="2" borderId="0" xfId="2"/>
    <xf numFmtId="0" fontId="2" fillId="0" borderId="0" xfId="2" applyFill="1"/>
    <xf numFmtId="0" fontId="2" fillId="4" borderId="0" xfId="2" applyFill="1"/>
    <xf numFmtId="0" fontId="2" fillId="5" borderId="0" xfId="2" applyFill="1"/>
    <xf numFmtId="0" fontId="4" fillId="0" borderId="0" xfId="0" applyFont="1"/>
  </cellXfs>
  <cellStyles count="4">
    <cellStyle name="Accent1" xfId="2" builtinId="29"/>
    <cellStyle name="Accent2" xfId="3" builtinId="33"/>
    <cellStyle name="Normal" xfId="0" builtinId="0"/>
    <cellStyle name="Normal 4 6" xfId="1" xr:uid="{7B1E29EB-FB7B-4C1C-94A7-067741DCA6C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EDBC-1264-4672-AE3C-9B867F1BE704}">
  <dimension ref="A1:O16"/>
  <sheetViews>
    <sheetView zoomScale="110" zoomScaleNormal="110" workbookViewId="0">
      <selection activeCell="J17" sqref="J17"/>
    </sheetView>
  </sheetViews>
  <sheetFormatPr defaultRowHeight="15" x14ac:dyDescent="0.25"/>
  <cols>
    <col min="1" max="1" width="20.7109375" bestFit="1" customWidth="1"/>
    <col min="2" max="2" width="20.42578125" bestFit="1" customWidth="1"/>
    <col min="3" max="3" width="13.7109375" bestFit="1" customWidth="1"/>
    <col min="4" max="4" width="12.5703125" bestFit="1" customWidth="1"/>
    <col min="5" max="5" width="13.140625" bestFit="1" customWidth="1"/>
    <col min="6" max="6" width="18.140625" bestFit="1" customWidth="1"/>
    <col min="7" max="7" width="12" bestFit="1" customWidth="1"/>
    <col min="8" max="8" width="14.5703125" bestFit="1" customWidth="1"/>
    <col min="9" max="9" width="11.85546875" bestFit="1" customWidth="1"/>
    <col min="10" max="10" width="16.140625" bestFit="1" customWidth="1"/>
    <col min="11" max="11" width="18.5703125" bestFit="1" customWidth="1"/>
    <col min="12" max="12" width="21.85546875" bestFit="1" customWidth="1"/>
    <col min="13" max="13" width="15" bestFit="1" customWidth="1"/>
    <col min="14" max="14" width="12.5703125" bestFit="1" customWidth="1"/>
    <col min="15" max="15" width="8.42578125" bestFit="1" customWidth="1"/>
  </cols>
  <sheetData>
    <row r="1" spans="1:15" x14ac:dyDescent="0.25">
      <c r="A1" s="2" t="s">
        <v>106</v>
      </c>
      <c r="B1" s="1" t="s">
        <v>225</v>
      </c>
      <c r="C1" s="1" t="s">
        <v>226</v>
      </c>
      <c r="D1" s="1" t="s">
        <v>227</v>
      </c>
      <c r="E1" s="1" t="s">
        <v>228</v>
      </c>
      <c r="F1" s="4" t="s">
        <v>437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2" t="s">
        <v>66</v>
      </c>
      <c r="B2" t="s">
        <v>232</v>
      </c>
      <c r="C2" t="s">
        <v>248</v>
      </c>
      <c r="D2" t="s">
        <v>236</v>
      </c>
      <c r="E2" t="s">
        <v>236</v>
      </c>
      <c r="F2" t="s">
        <v>500</v>
      </c>
    </row>
    <row r="3" spans="1:15" x14ac:dyDescent="0.25">
      <c r="A3" s="2" t="s">
        <v>69</v>
      </c>
      <c r="B3" t="s">
        <v>231</v>
      </c>
      <c r="C3" t="s">
        <v>231</v>
      </c>
      <c r="D3" t="s">
        <v>237</v>
      </c>
      <c r="E3" t="s">
        <v>237</v>
      </c>
      <c r="F3" t="s">
        <v>490</v>
      </c>
    </row>
    <row r="4" spans="1:15" x14ac:dyDescent="0.25">
      <c r="A4" s="2" t="s">
        <v>70</v>
      </c>
      <c r="B4" t="s">
        <v>233</v>
      </c>
      <c r="C4" t="s">
        <v>244</v>
      </c>
      <c r="D4" t="s">
        <v>235</v>
      </c>
      <c r="E4" t="s">
        <v>236</v>
      </c>
      <c r="F4" t="s">
        <v>500</v>
      </c>
    </row>
    <row r="5" spans="1:15" x14ac:dyDescent="0.25">
      <c r="A5" s="5" t="s">
        <v>71</v>
      </c>
      <c r="B5" t="s">
        <v>71</v>
      </c>
      <c r="C5" t="s">
        <v>250</v>
      </c>
      <c r="D5" t="s">
        <v>239</v>
      </c>
    </row>
    <row r="6" spans="1:15" x14ac:dyDescent="0.25">
      <c r="A6" s="5" t="s">
        <v>72</v>
      </c>
      <c r="B6" t="s">
        <v>72</v>
      </c>
      <c r="C6" t="s">
        <v>247</v>
      </c>
      <c r="D6" t="s">
        <v>243</v>
      </c>
    </row>
    <row r="7" spans="1:15" x14ac:dyDescent="0.25">
      <c r="A7" s="2" t="s">
        <v>73</v>
      </c>
    </row>
    <row r="8" spans="1:15" x14ac:dyDescent="0.25">
      <c r="A8" s="2" t="s">
        <v>74</v>
      </c>
      <c r="B8" t="s">
        <v>74</v>
      </c>
      <c r="C8" t="s">
        <v>249</v>
      </c>
      <c r="D8" t="s">
        <v>238</v>
      </c>
      <c r="E8" t="s">
        <v>375</v>
      </c>
    </row>
    <row r="9" spans="1:15" x14ac:dyDescent="0.25">
      <c r="A9" s="5" t="s">
        <v>75</v>
      </c>
      <c r="B9" t="s">
        <v>75</v>
      </c>
      <c r="C9" t="s">
        <v>245</v>
      </c>
      <c r="D9" t="s">
        <v>240</v>
      </c>
    </row>
    <row r="10" spans="1:15" x14ac:dyDescent="0.25">
      <c r="A10" s="5" t="s">
        <v>76</v>
      </c>
      <c r="B10" t="s">
        <v>76</v>
      </c>
    </row>
    <row r="11" spans="1:15" x14ac:dyDescent="0.25">
      <c r="A11" s="2" t="s">
        <v>77</v>
      </c>
      <c r="B11" t="s">
        <v>234</v>
      </c>
      <c r="C11" t="s">
        <v>246</v>
      </c>
      <c r="D11" t="s">
        <v>242</v>
      </c>
      <c r="E11" t="s">
        <v>376</v>
      </c>
      <c r="F11" t="s">
        <v>491</v>
      </c>
    </row>
    <row r="12" spans="1:15" x14ac:dyDescent="0.25">
      <c r="A12" s="2" t="s">
        <v>78</v>
      </c>
    </row>
    <row r="13" spans="1:15" x14ac:dyDescent="0.25">
      <c r="A13" s="2" t="s">
        <v>79</v>
      </c>
    </row>
    <row r="14" spans="1:15" x14ac:dyDescent="0.25">
      <c r="A14" s="2" t="s">
        <v>80</v>
      </c>
      <c r="B14" t="s">
        <v>229</v>
      </c>
      <c r="E14" t="s">
        <v>374</v>
      </c>
      <c r="F14" t="s">
        <v>229</v>
      </c>
    </row>
    <row r="15" spans="1:15" x14ac:dyDescent="0.25">
      <c r="A15" s="2" t="s">
        <v>81</v>
      </c>
      <c r="B15" t="s">
        <v>546</v>
      </c>
      <c r="E15" t="s">
        <v>377</v>
      </c>
      <c r="F15" t="s">
        <v>501</v>
      </c>
    </row>
    <row r="16" spans="1:15" x14ac:dyDescent="0.25">
      <c r="A16" s="2" t="s">
        <v>438</v>
      </c>
      <c r="B16" t="s">
        <v>230</v>
      </c>
      <c r="C16" t="s">
        <v>230</v>
      </c>
      <c r="D16" t="s">
        <v>241</v>
      </c>
      <c r="E16" t="s">
        <v>373</v>
      </c>
      <c r="F16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DAE3-02AE-41EB-A893-D51543F6BB44}">
  <dimension ref="A1:B59"/>
  <sheetViews>
    <sheetView workbookViewId="0">
      <pane ySplit="1" topLeftCell="A38" activePane="bottomLeft" state="frozen"/>
      <selection pane="bottomLeft" activeCell="D59" sqref="D59"/>
    </sheetView>
  </sheetViews>
  <sheetFormatPr defaultRowHeight="15" x14ac:dyDescent="0.25"/>
  <cols>
    <col min="1" max="1" width="14.85546875" bestFit="1" customWidth="1"/>
    <col min="2" max="2" width="10.140625" bestFit="1" customWidth="1"/>
  </cols>
  <sheetData>
    <row r="1" spans="1:2" x14ac:dyDescent="0.25">
      <c r="A1" s="2" t="s">
        <v>102</v>
      </c>
      <c r="B1" s="2" t="s">
        <v>435</v>
      </c>
    </row>
    <row r="2" spans="1:2" x14ac:dyDescent="0.25">
      <c r="A2" t="s">
        <v>518</v>
      </c>
      <c r="B2" t="s">
        <v>510</v>
      </c>
    </row>
    <row r="3" spans="1:2" x14ac:dyDescent="0.25">
      <c r="A3" t="s">
        <v>504</v>
      </c>
      <c r="B3" t="s">
        <v>510</v>
      </c>
    </row>
    <row r="4" spans="1:2" x14ac:dyDescent="0.25">
      <c r="A4" t="s">
        <v>291</v>
      </c>
      <c r="B4" t="s">
        <v>516</v>
      </c>
    </row>
    <row r="5" spans="1:2" x14ac:dyDescent="0.25">
      <c r="A5" t="s">
        <v>1</v>
      </c>
      <c r="B5" t="s">
        <v>505</v>
      </c>
    </row>
    <row r="6" spans="1:2" x14ac:dyDescent="0.25">
      <c r="A6" t="s">
        <v>17</v>
      </c>
      <c r="B6" t="s">
        <v>505</v>
      </c>
    </row>
    <row r="7" spans="1:2" x14ac:dyDescent="0.25">
      <c r="A7" t="s">
        <v>14</v>
      </c>
      <c r="B7" t="s">
        <v>506</v>
      </c>
    </row>
    <row r="8" spans="1:2" x14ac:dyDescent="0.25">
      <c r="A8" t="s">
        <v>40</v>
      </c>
      <c r="B8" t="s">
        <v>506</v>
      </c>
    </row>
    <row r="9" spans="1:2" x14ac:dyDescent="0.25">
      <c r="A9" t="s">
        <v>45</v>
      </c>
      <c r="B9" t="s">
        <v>45</v>
      </c>
    </row>
    <row r="10" spans="1:2" x14ac:dyDescent="0.25">
      <c r="A10" t="s">
        <v>251</v>
      </c>
      <c r="B10" t="s">
        <v>508</v>
      </c>
    </row>
    <row r="11" spans="1:2" x14ac:dyDescent="0.25">
      <c r="A11" t="s">
        <v>22</v>
      </c>
      <c r="B11" t="s">
        <v>507</v>
      </c>
    </row>
    <row r="12" spans="1:2" x14ac:dyDescent="0.25">
      <c r="A12" t="s">
        <v>38</v>
      </c>
      <c r="B12" t="s">
        <v>507</v>
      </c>
    </row>
    <row r="13" spans="1:2" x14ac:dyDescent="0.25">
      <c r="A13" t="s">
        <v>498</v>
      </c>
      <c r="B13" t="s">
        <v>517</v>
      </c>
    </row>
    <row r="14" spans="1:2" x14ac:dyDescent="0.25">
      <c r="A14" t="s">
        <v>329</v>
      </c>
      <c r="B14" t="s">
        <v>510</v>
      </c>
    </row>
    <row r="15" spans="1:2" x14ac:dyDescent="0.25">
      <c r="A15" t="s">
        <v>0</v>
      </c>
      <c r="B15" t="s">
        <v>509</v>
      </c>
    </row>
    <row r="16" spans="1:2" x14ac:dyDescent="0.25">
      <c r="A16" t="s">
        <v>324</v>
      </c>
      <c r="B16" t="s">
        <v>517</v>
      </c>
    </row>
    <row r="17" spans="1:2" x14ac:dyDescent="0.25">
      <c r="A17" t="s">
        <v>496</v>
      </c>
      <c r="B17" t="s">
        <v>517</v>
      </c>
    </row>
    <row r="18" spans="1:2" x14ac:dyDescent="0.25">
      <c r="A18" t="s">
        <v>327</v>
      </c>
      <c r="B18" t="s">
        <v>517</v>
      </c>
    </row>
    <row r="19" spans="1:2" x14ac:dyDescent="0.25">
      <c r="A19" t="s">
        <v>15</v>
      </c>
      <c r="B19" t="s">
        <v>509</v>
      </c>
    </row>
    <row r="20" spans="1:2" x14ac:dyDescent="0.25">
      <c r="A20" t="s">
        <v>21</v>
      </c>
      <c r="B20" t="s">
        <v>507</v>
      </c>
    </row>
    <row r="21" spans="1:2" x14ac:dyDescent="0.25">
      <c r="A21" t="s">
        <v>23</v>
      </c>
      <c r="B21" t="s">
        <v>507</v>
      </c>
    </row>
    <row r="22" spans="1:2" x14ac:dyDescent="0.25">
      <c r="A22" t="s">
        <v>46</v>
      </c>
      <c r="B22" t="s">
        <v>523</v>
      </c>
    </row>
    <row r="23" spans="1:2" x14ac:dyDescent="0.25">
      <c r="A23" t="s">
        <v>2</v>
      </c>
      <c r="B23" t="s">
        <v>506</v>
      </c>
    </row>
    <row r="24" spans="1:2" x14ac:dyDescent="0.25">
      <c r="A24" t="s">
        <v>42</v>
      </c>
      <c r="B24" t="s">
        <v>510</v>
      </c>
    </row>
    <row r="25" spans="1:2" x14ac:dyDescent="0.25">
      <c r="A25" t="s">
        <v>281</v>
      </c>
      <c r="B25" t="s">
        <v>510</v>
      </c>
    </row>
    <row r="26" spans="1:2" x14ac:dyDescent="0.25">
      <c r="A26" t="s">
        <v>205</v>
      </c>
      <c r="B26" t="s">
        <v>511</v>
      </c>
    </row>
    <row r="27" spans="1:2" x14ac:dyDescent="0.25">
      <c r="A27" t="s">
        <v>263</v>
      </c>
      <c r="B27" t="s">
        <v>512</v>
      </c>
    </row>
    <row r="28" spans="1:2" x14ac:dyDescent="0.25">
      <c r="A28" t="s">
        <v>357</v>
      </c>
      <c r="B28" t="s">
        <v>512</v>
      </c>
    </row>
    <row r="29" spans="1:2" x14ac:dyDescent="0.25">
      <c r="A29" t="s">
        <v>354</v>
      </c>
      <c r="B29" t="s">
        <v>512</v>
      </c>
    </row>
    <row r="30" spans="1:2" x14ac:dyDescent="0.25">
      <c r="A30" t="s">
        <v>360</v>
      </c>
      <c r="B30" t="s">
        <v>512</v>
      </c>
    </row>
    <row r="31" spans="1:2" x14ac:dyDescent="0.25">
      <c r="A31" t="s">
        <v>9</v>
      </c>
      <c r="B31" t="s">
        <v>512</v>
      </c>
    </row>
    <row r="32" spans="1:2" x14ac:dyDescent="0.25">
      <c r="A32" t="s">
        <v>36</v>
      </c>
      <c r="B32" t="s">
        <v>510</v>
      </c>
    </row>
    <row r="33" spans="1:2" x14ac:dyDescent="0.25">
      <c r="A33" t="s">
        <v>497</v>
      </c>
      <c r="B33" t="s">
        <v>510</v>
      </c>
    </row>
    <row r="34" spans="1:2" x14ac:dyDescent="0.25">
      <c r="A34" t="s">
        <v>338</v>
      </c>
      <c r="B34" t="s">
        <v>514</v>
      </c>
    </row>
    <row r="35" spans="1:2" x14ac:dyDescent="0.25">
      <c r="A35" t="s">
        <v>47</v>
      </c>
      <c r="B35" t="s">
        <v>47</v>
      </c>
    </row>
    <row r="36" spans="1:2" x14ac:dyDescent="0.25">
      <c r="A36" t="s">
        <v>294</v>
      </c>
      <c r="B36" t="s">
        <v>510</v>
      </c>
    </row>
    <row r="37" spans="1:2" x14ac:dyDescent="0.25">
      <c r="A37" t="s">
        <v>282</v>
      </c>
      <c r="B37" t="s">
        <v>510</v>
      </c>
    </row>
    <row r="38" spans="1:2" x14ac:dyDescent="0.25">
      <c r="A38" t="s">
        <v>262</v>
      </c>
      <c r="B38" t="s">
        <v>510</v>
      </c>
    </row>
    <row r="39" spans="1:2" x14ac:dyDescent="0.25">
      <c r="A39" t="s">
        <v>434</v>
      </c>
      <c r="B39" t="s">
        <v>510</v>
      </c>
    </row>
    <row r="40" spans="1:2" x14ac:dyDescent="0.25">
      <c r="A40" t="s">
        <v>3</v>
      </c>
      <c r="B40" t="s">
        <v>513</v>
      </c>
    </row>
    <row r="41" spans="1:2" x14ac:dyDescent="0.25">
      <c r="A41" t="s">
        <v>433</v>
      </c>
      <c r="B41" t="s">
        <v>506</v>
      </c>
    </row>
    <row r="42" spans="1:2" x14ac:dyDescent="0.25">
      <c r="A42" t="s">
        <v>499</v>
      </c>
      <c r="B42" t="s">
        <v>516</v>
      </c>
    </row>
    <row r="43" spans="1:2" x14ac:dyDescent="0.25">
      <c r="A43" t="s">
        <v>24</v>
      </c>
      <c r="B43" t="s">
        <v>506</v>
      </c>
    </row>
    <row r="44" spans="1:2" x14ac:dyDescent="0.25">
      <c r="A44" t="s">
        <v>289</v>
      </c>
      <c r="B44" t="s">
        <v>516</v>
      </c>
    </row>
    <row r="45" spans="1:2" x14ac:dyDescent="0.25">
      <c r="A45" t="s">
        <v>12</v>
      </c>
      <c r="B45" t="s">
        <v>514</v>
      </c>
    </row>
    <row r="46" spans="1:2" x14ac:dyDescent="0.25">
      <c r="A46" t="s">
        <v>4</v>
      </c>
      <c r="B46" t="s">
        <v>515</v>
      </c>
    </row>
    <row r="47" spans="1:2" x14ac:dyDescent="0.25">
      <c r="A47" t="s">
        <v>5</v>
      </c>
      <c r="B47" t="s">
        <v>515</v>
      </c>
    </row>
    <row r="48" spans="1:2" x14ac:dyDescent="0.25">
      <c r="A48" t="s">
        <v>20</v>
      </c>
      <c r="B48" t="s">
        <v>506</v>
      </c>
    </row>
    <row r="49" spans="1:2" x14ac:dyDescent="0.25">
      <c r="A49" t="s">
        <v>10</v>
      </c>
      <c r="B49" t="s">
        <v>505</v>
      </c>
    </row>
    <row r="50" spans="1:2" x14ac:dyDescent="0.25">
      <c r="A50" t="s">
        <v>6</v>
      </c>
      <c r="B50" t="s">
        <v>505</v>
      </c>
    </row>
    <row r="51" spans="1:2" x14ac:dyDescent="0.25">
      <c r="A51" t="s">
        <v>527</v>
      </c>
      <c r="B51" t="s">
        <v>506</v>
      </c>
    </row>
    <row r="52" spans="1:2" x14ac:dyDescent="0.25">
      <c r="A52" t="s">
        <v>414</v>
      </c>
      <c r="B52" t="s">
        <v>47</v>
      </c>
    </row>
    <row r="53" spans="1:2" x14ac:dyDescent="0.25">
      <c r="A53" t="s">
        <v>287</v>
      </c>
      <c r="B53" t="s">
        <v>47</v>
      </c>
    </row>
    <row r="54" spans="1:2" x14ac:dyDescent="0.25">
      <c r="A54" t="s">
        <v>89</v>
      </c>
      <c r="B54" t="s">
        <v>512</v>
      </c>
    </row>
    <row r="55" spans="1:2" x14ac:dyDescent="0.25">
      <c r="A55" t="s">
        <v>550</v>
      </c>
      <c r="B55" t="s">
        <v>512</v>
      </c>
    </row>
    <row r="56" spans="1:2" x14ac:dyDescent="0.25">
      <c r="A56" t="s">
        <v>551</v>
      </c>
      <c r="B56" t="s">
        <v>512</v>
      </c>
    </row>
    <row r="57" spans="1:2" x14ac:dyDescent="0.25">
      <c r="A57" t="s">
        <v>552</v>
      </c>
      <c r="B57" t="s">
        <v>512</v>
      </c>
    </row>
    <row r="58" spans="1:2" x14ac:dyDescent="0.25">
      <c r="A58" t="s">
        <v>452</v>
      </c>
      <c r="B58" t="s">
        <v>507</v>
      </c>
    </row>
    <row r="59" spans="1:2" x14ac:dyDescent="0.25">
      <c r="A59" t="s">
        <v>451</v>
      </c>
      <c r="B59" t="s">
        <v>507</v>
      </c>
    </row>
  </sheetData>
  <autoFilter ref="A1:B50" xr:uid="{9AEEDAE3-02AE-41EB-A893-D51543F6BB44}"/>
  <sortState xmlns:xlrd2="http://schemas.microsoft.com/office/spreadsheetml/2017/richdata2" ref="A2:B46">
    <sortCondition ref="A1:A46"/>
  </sortState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3784-1314-4A04-B8BC-4D163A641EEA}">
  <dimension ref="A1:H109"/>
  <sheetViews>
    <sheetView zoomScaleNormal="100" workbookViewId="0">
      <pane ySplit="1" topLeftCell="A2" activePane="bottomLeft" state="frozen"/>
      <selection pane="bottomLeft" activeCell="A63" sqref="A63"/>
    </sheetView>
  </sheetViews>
  <sheetFormatPr defaultRowHeight="15" x14ac:dyDescent="0.25"/>
  <cols>
    <col min="1" max="1" width="14.85546875" customWidth="1"/>
    <col min="2" max="2" width="11.42578125" bestFit="1" customWidth="1"/>
    <col min="3" max="3" width="11.42578125" customWidth="1"/>
    <col min="4" max="4" width="25.140625" bestFit="1" customWidth="1"/>
    <col min="5" max="5" width="19.42578125" bestFit="1" customWidth="1"/>
    <col min="6" max="6" width="15" bestFit="1" customWidth="1"/>
    <col min="7" max="7" width="15.42578125" bestFit="1" customWidth="1"/>
    <col min="8" max="8" width="15.5703125" bestFit="1" customWidth="1"/>
    <col min="9" max="9" width="44.28515625" bestFit="1" customWidth="1"/>
  </cols>
  <sheetData>
    <row r="1" spans="1:8" x14ac:dyDescent="0.25">
      <c r="A1" s="2" t="s">
        <v>102</v>
      </c>
      <c r="B1" s="2" t="s">
        <v>48</v>
      </c>
      <c r="C1" s="2" t="s">
        <v>435</v>
      </c>
      <c r="D1" s="2" t="s">
        <v>436</v>
      </c>
      <c r="E1" s="2" t="s">
        <v>103</v>
      </c>
      <c r="F1" s="2" t="s">
        <v>104</v>
      </c>
      <c r="G1" s="2" t="s">
        <v>107</v>
      </c>
      <c r="H1" s="2" t="s">
        <v>105</v>
      </c>
    </row>
    <row r="2" spans="1:8" x14ac:dyDescent="0.25">
      <c r="A2" t="s">
        <v>1</v>
      </c>
      <c r="B2" t="s">
        <v>31</v>
      </c>
      <c r="C2" t="str">
        <f>_xlfn.XLOOKUP(A2,SEGMENT!A:A,SEGMENT!B:B)</f>
        <v>SUV-D</v>
      </c>
      <c r="D2" t="str">
        <f t="shared" ref="D2:D29" si="0">_xlfn.CONCAT(A2," ",B2)</f>
        <v>BLAZER RS AT</v>
      </c>
      <c r="E2" t="s">
        <v>1</v>
      </c>
      <c r="F2" t="s">
        <v>31</v>
      </c>
      <c r="G2" t="s">
        <v>67</v>
      </c>
    </row>
    <row r="3" spans="1:8" x14ac:dyDescent="0.25">
      <c r="A3" t="s">
        <v>1</v>
      </c>
      <c r="B3" t="s">
        <v>286</v>
      </c>
      <c r="C3" t="str">
        <f>_xlfn.XLOOKUP(A3,SEGMENT!A:A,SEGMENT!B:B)</f>
        <v>SUV-D</v>
      </c>
      <c r="D3" t="str">
        <f t="shared" si="0"/>
        <v>BLAZER OBSOLETO</v>
      </c>
      <c r="E3" t="s">
        <v>1</v>
      </c>
      <c r="F3" t="s">
        <v>503</v>
      </c>
    </row>
    <row r="4" spans="1:8" x14ac:dyDescent="0.25">
      <c r="A4" t="s">
        <v>17</v>
      </c>
      <c r="B4" t="s">
        <v>31</v>
      </c>
      <c r="C4" t="str">
        <f>_xlfn.XLOOKUP(A4,SEGMENT!A:A,SEGMENT!B:B)</f>
        <v>SUV-D</v>
      </c>
      <c r="D4" t="str">
        <f t="shared" si="0"/>
        <v>BLAZER EV RS AT</v>
      </c>
      <c r="E4" t="s">
        <v>17</v>
      </c>
      <c r="F4" t="s">
        <v>67</v>
      </c>
      <c r="G4" t="s">
        <v>68</v>
      </c>
      <c r="H4" t="s">
        <v>17</v>
      </c>
    </row>
    <row r="5" spans="1:8" x14ac:dyDescent="0.25">
      <c r="A5" t="s">
        <v>40</v>
      </c>
      <c r="B5" t="s">
        <v>33</v>
      </c>
      <c r="C5" t="str">
        <f>_xlfn.XLOOKUP(A5,SEGMENT!A:A,SEGMENT!B:B)</f>
        <v>SUV-B</v>
      </c>
      <c r="D5" t="str">
        <f t="shared" si="0"/>
        <v>BOLT EUV LT AT</v>
      </c>
      <c r="E5" t="s">
        <v>14</v>
      </c>
      <c r="F5" t="s">
        <v>67</v>
      </c>
      <c r="G5" t="s">
        <v>270</v>
      </c>
    </row>
    <row r="6" spans="1:8" x14ac:dyDescent="0.25">
      <c r="A6" t="s">
        <v>45</v>
      </c>
      <c r="B6" t="s">
        <v>45</v>
      </c>
      <c r="C6" t="str">
        <f>_xlfn.XLOOKUP(A6,SEGMENT!A:A,SEGMENT!B:B)</f>
        <v>CADILLAC</v>
      </c>
      <c r="D6" t="str">
        <f t="shared" si="0"/>
        <v>CADILLAC CADILLAC</v>
      </c>
      <c r="E6" t="s">
        <v>26</v>
      </c>
      <c r="F6" t="s">
        <v>26</v>
      </c>
    </row>
    <row r="7" spans="1:8" x14ac:dyDescent="0.25">
      <c r="A7" t="s">
        <v>45</v>
      </c>
      <c r="B7" t="s">
        <v>45</v>
      </c>
      <c r="C7" t="str">
        <f>_xlfn.XLOOKUP(A7,SEGMENT!A:A,SEGMENT!B:B)</f>
        <v>CADILLAC</v>
      </c>
      <c r="D7" t="str">
        <f t="shared" si="0"/>
        <v>CADILLAC CADILLAC</v>
      </c>
      <c r="E7" t="s">
        <v>265</v>
      </c>
      <c r="F7" t="s">
        <v>265</v>
      </c>
    </row>
    <row r="8" spans="1:8" x14ac:dyDescent="0.25">
      <c r="A8" t="s">
        <v>251</v>
      </c>
      <c r="B8" t="s">
        <v>251</v>
      </c>
      <c r="C8" t="str">
        <f>_xlfn.XLOOKUP(A8,SEGMENT!A:A,SEGMENT!B:B)</f>
        <v>SPORT</v>
      </c>
      <c r="D8" t="str">
        <f t="shared" si="0"/>
        <v>CAMARO CAMARO</v>
      </c>
      <c r="E8" t="s">
        <v>251</v>
      </c>
      <c r="F8" t="s">
        <v>271</v>
      </c>
    </row>
    <row r="9" spans="1:8" x14ac:dyDescent="0.25">
      <c r="A9" t="s">
        <v>22</v>
      </c>
      <c r="B9" t="s">
        <v>49</v>
      </c>
      <c r="C9" t="str">
        <f>_xlfn.XLOOKUP(A9,SEGMENT!A:A,SEGMENT!B:B)</f>
        <v>SUV-C</v>
      </c>
      <c r="D9" t="str">
        <f t="shared" si="0"/>
        <v>CAPTIVA PREMIER MT</v>
      </c>
      <c r="E9" t="s">
        <v>11</v>
      </c>
      <c r="F9" t="s">
        <v>49</v>
      </c>
    </row>
    <row r="10" spans="1:8" x14ac:dyDescent="0.25">
      <c r="A10" t="s">
        <v>22</v>
      </c>
      <c r="B10" t="s">
        <v>29</v>
      </c>
      <c r="C10" t="str">
        <f>_xlfn.XLOOKUP(A10,SEGMENT!A:A,SEGMENT!B:B)</f>
        <v>SUV-C</v>
      </c>
      <c r="D10" t="str">
        <f t="shared" si="0"/>
        <v>CAPTIVA PREMIER AT</v>
      </c>
      <c r="E10" t="s">
        <v>11</v>
      </c>
      <c r="F10" t="s">
        <v>272</v>
      </c>
    </row>
    <row r="11" spans="1:8" x14ac:dyDescent="0.25">
      <c r="A11" t="s">
        <v>22</v>
      </c>
      <c r="B11" t="s">
        <v>28</v>
      </c>
      <c r="C11" t="str">
        <f>_xlfn.XLOOKUP(A11,SEGMENT!A:A,SEGMENT!B:B)</f>
        <v>SUV-C</v>
      </c>
      <c r="D11" t="str">
        <f t="shared" si="0"/>
        <v>CAPTIVA LTZ MT</v>
      </c>
      <c r="E11" t="s">
        <v>11</v>
      </c>
      <c r="F11" t="s">
        <v>28</v>
      </c>
    </row>
    <row r="12" spans="1:8" x14ac:dyDescent="0.25">
      <c r="A12" t="s">
        <v>22</v>
      </c>
      <c r="B12" t="s">
        <v>34</v>
      </c>
      <c r="C12" t="str">
        <f>_xlfn.XLOOKUP(A12,SEGMENT!A:A,SEGMENT!B:B)</f>
        <v>SUV-C</v>
      </c>
      <c r="D12" t="str">
        <f t="shared" si="0"/>
        <v>CAPTIVA LTZ AT</v>
      </c>
      <c r="E12" t="s">
        <v>11</v>
      </c>
      <c r="F12" t="s">
        <v>67</v>
      </c>
      <c r="G12" t="s">
        <v>82</v>
      </c>
    </row>
    <row r="13" spans="1:8" x14ac:dyDescent="0.25">
      <c r="A13" t="s">
        <v>22</v>
      </c>
      <c r="B13" t="s">
        <v>286</v>
      </c>
      <c r="C13" t="str">
        <f>_xlfn.XLOOKUP(A13,SEGMENT!A:A,SEGMENT!B:B)</f>
        <v>SUV-C</v>
      </c>
      <c r="D13" t="str">
        <f t="shared" si="0"/>
        <v>CAPTIVA OBSOLETO</v>
      </c>
      <c r="E13" t="s">
        <v>11</v>
      </c>
      <c r="F13" t="s">
        <v>503</v>
      </c>
    </row>
    <row r="14" spans="1:8" x14ac:dyDescent="0.25">
      <c r="A14" t="s">
        <v>22</v>
      </c>
      <c r="B14" t="s">
        <v>286</v>
      </c>
      <c r="C14" t="str">
        <f>_xlfn.XLOOKUP(A14,SEGMENT!A:A,SEGMENT!B:B)</f>
        <v>SUV-C</v>
      </c>
      <c r="D14" t="str">
        <f t="shared" si="0"/>
        <v>CAPTIVA OBSOLETO</v>
      </c>
      <c r="E14" t="s">
        <v>22</v>
      </c>
      <c r="F14" t="s">
        <v>503</v>
      </c>
    </row>
    <row r="15" spans="1:8" x14ac:dyDescent="0.25">
      <c r="A15" t="s">
        <v>38</v>
      </c>
      <c r="B15" t="s">
        <v>65</v>
      </c>
      <c r="C15" t="str">
        <f>_xlfn.XLOOKUP(A15,SEGMENT!A:A,SEGMENT!B:B)</f>
        <v>SUV-C</v>
      </c>
      <c r="D15" t="str">
        <f t="shared" si="0"/>
        <v>CAPTIVA NEV PHEV</v>
      </c>
      <c r="E15" t="s">
        <v>25</v>
      </c>
      <c r="F15" t="s">
        <v>101</v>
      </c>
      <c r="G15" t="s">
        <v>65</v>
      </c>
      <c r="H15" t="s">
        <v>519</v>
      </c>
    </row>
    <row r="16" spans="1:8" x14ac:dyDescent="0.25">
      <c r="A16" t="s">
        <v>38</v>
      </c>
      <c r="B16" t="s">
        <v>64</v>
      </c>
      <c r="C16" t="str">
        <f>_xlfn.XLOOKUP(A16,SEGMENT!A:A,SEGMENT!B:B)</f>
        <v>SUV-C</v>
      </c>
      <c r="D16" t="str">
        <f t="shared" si="0"/>
        <v>CAPTIVA NEV EUV</v>
      </c>
      <c r="E16" t="s">
        <v>25</v>
      </c>
      <c r="F16" t="s">
        <v>100</v>
      </c>
      <c r="G16" t="s">
        <v>99</v>
      </c>
      <c r="H16" t="s">
        <v>67</v>
      </c>
    </row>
    <row r="17" spans="1:8" x14ac:dyDescent="0.25">
      <c r="A17" t="s">
        <v>0</v>
      </c>
      <c r="B17" t="s">
        <v>286</v>
      </c>
      <c r="C17" t="str">
        <f>_xlfn.XLOOKUP(A17,SEGMENT!A:A,SEGMENT!B:B)</f>
        <v>PICKUP-D</v>
      </c>
      <c r="D17" t="str">
        <f t="shared" si="0"/>
        <v>COLORADO OBSOLETO</v>
      </c>
      <c r="E17" t="s">
        <v>0</v>
      </c>
      <c r="F17" t="s">
        <v>503</v>
      </c>
    </row>
    <row r="18" spans="1:8" x14ac:dyDescent="0.25">
      <c r="A18" t="s">
        <v>0</v>
      </c>
      <c r="B18" t="s">
        <v>54</v>
      </c>
      <c r="C18" t="str">
        <f>_xlfn.XLOOKUP(A18,SEGMENT!A:A,SEGMENT!B:B)</f>
        <v>PICKUP-D</v>
      </c>
      <c r="D18" t="str">
        <f t="shared" si="0"/>
        <v>COLORADO Z71 AT</v>
      </c>
      <c r="E18" t="s">
        <v>0</v>
      </c>
      <c r="F18" t="s">
        <v>87</v>
      </c>
    </row>
    <row r="19" spans="1:8" x14ac:dyDescent="0.25">
      <c r="A19" t="s">
        <v>0</v>
      </c>
      <c r="B19" t="s">
        <v>53</v>
      </c>
      <c r="C19" t="str">
        <f>_xlfn.XLOOKUP(A19,SEGMENT!A:A,SEGMENT!B:B)</f>
        <v>PICKUP-D</v>
      </c>
      <c r="D19" t="str">
        <f t="shared" si="0"/>
        <v>COLORADO WT MT 4X4</v>
      </c>
      <c r="E19" t="s">
        <v>0</v>
      </c>
      <c r="F19" t="s">
        <v>86</v>
      </c>
      <c r="G19" t="s">
        <v>277</v>
      </c>
    </row>
    <row r="20" spans="1:8" x14ac:dyDescent="0.25">
      <c r="A20" t="s">
        <v>0</v>
      </c>
      <c r="B20" t="s">
        <v>52</v>
      </c>
      <c r="C20" t="str">
        <f>_xlfn.XLOOKUP(A20,SEGMENT!A:A,SEGMENT!B:B)</f>
        <v>PICKUP-D</v>
      </c>
      <c r="D20" t="str">
        <f t="shared" si="0"/>
        <v>COLORADO WT MT 4X2</v>
      </c>
      <c r="E20" t="s">
        <v>0</v>
      </c>
      <c r="F20" t="s">
        <v>85</v>
      </c>
      <c r="G20" t="s">
        <v>274</v>
      </c>
    </row>
    <row r="21" spans="1:8" x14ac:dyDescent="0.25">
      <c r="A21" t="s">
        <v>0</v>
      </c>
      <c r="B21" t="s">
        <v>51</v>
      </c>
      <c r="C21" t="str">
        <f>_xlfn.XLOOKUP(A21,SEGMENT!A:A,SEGMENT!B:B)</f>
        <v>PICKUP-D</v>
      </c>
      <c r="D21" t="str">
        <f t="shared" si="0"/>
        <v>COLORADO WT AT</v>
      </c>
      <c r="E21" t="s">
        <v>0</v>
      </c>
      <c r="F21" t="s">
        <v>84</v>
      </c>
      <c r="G21" t="s">
        <v>278</v>
      </c>
    </row>
    <row r="22" spans="1:8" x14ac:dyDescent="0.25">
      <c r="A22" t="s">
        <v>0</v>
      </c>
      <c r="B22" t="s">
        <v>28</v>
      </c>
      <c r="C22" t="str">
        <f>_xlfn.XLOOKUP(A22,SEGMENT!A:A,SEGMENT!B:B)</f>
        <v>PICKUP-D</v>
      </c>
      <c r="D22" t="str">
        <f t="shared" si="0"/>
        <v>COLORADO LTZ MT</v>
      </c>
      <c r="E22" t="s">
        <v>0</v>
      </c>
      <c r="F22" t="s">
        <v>28</v>
      </c>
    </row>
    <row r="23" spans="1:8" x14ac:dyDescent="0.25">
      <c r="A23" t="s">
        <v>0</v>
      </c>
      <c r="B23" t="s">
        <v>34</v>
      </c>
      <c r="C23" t="str">
        <f>_xlfn.XLOOKUP(A23,SEGMENT!A:A,SEGMENT!B:B)</f>
        <v>PICKUP-D</v>
      </c>
      <c r="D23" t="str">
        <f t="shared" si="0"/>
        <v>COLORADO LTZ AT</v>
      </c>
      <c r="E23" t="s">
        <v>0</v>
      </c>
      <c r="F23" t="s">
        <v>34</v>
      </c>
    </row>
    <row r="24" spans="1:8" x14ac:dyDescent="0.25">
      <c r="A24" t="s">
        <v>0</v>
      </c>
      <c r="B24" t="s">
        <v>50</v>
      </c>
      <c r="C24" t="str">
        <f>_xlfn.XLOOKUP(A24,SEGMENT!A:A,SEGMENT!B:B)</f>
        <v>PICKUP-D</v>
      </c>
      <c r="D24" t="str">
        <f t="shared" si="0"/>
        <v>COLORADO HC AT</v>
      </c>
      <c r="E24" t="s">
        <v>0</v>
      </c>
      <c r="F24" t="s">
        <v>83</v>
      </c>
      <c r="G24" t="s">
        <v>67</v>
      </c>
    </row>
    <row r="25" spans="1:8" x14ac:dyDescent="0.25">
      <c r="A25" t="s">
        <v>15</v>
      </c>
      <c r="B25" t="s">
        <v>286</v>
      </c>
      <c r="C25" t="str">
        <f>_xlfn.XLOOKUP(A25,SEGMENT!A:A,SEGMENT!B:B)</f>
        <v>PICKUP-D</v>
      </c>
      <c r="D25" t="str">
        <f t="shared" si="0"/>
        <v>D-MAX OBSOLETO</v>
      </c>
      <c r="E25" t="s">
        <v>15</v>
      </c>
      <c r="F25" t="s">
        <v>503</v>
      </c>
    </row>
    <row r="26" spans="1:8" x14ac:dyDescent="0.25">
      <c r="A26" t="s">
        <v>21</v>
      </c>
      <c r="B26" t="s">
        <v>31</v>
      </c>
      <c r="C26" t="str">
        <f>_xlfn.XLOOKUP(A26,SEGMENT!A:A,SEGMENT!B:B)</f>
        <v>SUV-C</v>
      </c>
      <c r="D26" t="str">
        <f t="shared" si="0"/>
        <v>EQUINOX RS AT</v>
      </c>
      <c r="E26" t="s">
        <v>21</v>
      </c>
      <c r="F26" t="s">
        <v>67</v>
      </c>
      <c r="G26" t="s">
        <v>272</v>
      </c>
    </row>
    <row r="27" spans="1:8" x14ac:dyDescent="0.25">
      <c r="A27" t="s">
        <v>21</v>
      </c>
      <c r="B27" t="s">
        <v>286</v>
      </c>
      <c r="C27" t="str">
        <f>_xlfn.XLOOKUP(A27,SEGMENT!A:A,SEGMENT!B:B)</f>
        <v>SUV-C</v>
      </c>
      <c r="D27" t="str">
        <f t="shared" si="0"/>
        <v>EQUINOX OBSOLETO</v>
      </c>
      <c r="E27" t="s">
        <v>21</v>
      </c>
      <c r="F27" t="s">
        <v>503</v>
      </c>
    </row>
    <row r="28" spans="1:8" x14ac:dyDescent="0.25">
      <c r="A28" t="s">
        <v>23</v>
      </c>
      <c r="B28" t="s">
        <v>33</v>
      </c>
      <c r="C28" t="str">
        <f>_xlfn.XLOOKUP(A28,SEGMENT!A:A,SEGMENT!B:B)</f>
        <v>SUV-C</v>
      </c>
      <c r="D28" t="str">
        <f t="shared" si="0"/>
        <v>EQUINOX EV LT AT</v>
      </c>
      <c r="E28" t="s">
        <v>23</v>
      </c>
      <c r="F28" t="s">
        <v>23</v>
      </c>
      <c r="G28" t="s">
        <v>68</v>
      </c>
      <c r="H28" t="s">
        <v>275</v>
      </c>
    </row>
    <row r="29" spans="1:8" x14ac:dyDescent="0.25">
      <c r="A29" t="s">
        <v>23</v>
      </c>
      <c r="B29" t="s">
        <v>33</v>
      </c>
      <c r="C29" t="str">
        <f>_xlfn.XLOOKUP(A29,SEGMENT!A:A,SEGMENT!B:B)</f>
        <v>SUV-C</v>
      </c>
      <c r="D29" t="str">
        <f t="shared" si="0"/>
        <v>EQUINOX EV LT AT</v>
      </c>
      <c r="E29" t="s">
        <v>23</v>
      </c>
      <c r="F29" t="s">
        <v>67</v>
      </c>
    </row>
    <row r="30" spans="1:8" x14ac:dyDescent="0.25">
      <c r="A30" t="s">
        <v>46</v>
      </c>
      <c r="B30" t="s">
        <v>286</v>
      </c>
      <c r="C30" t="str">
        <f>_xlfn.XLOOKUP(A30,SEGMENT!A:A,SEGMENT!B:B)</f>
        <v>B&amp;T</v>
      </c>
      <c r="D30" t="str">
        <f t="shared" ref="D30:D60" si="1">_xlfn.CONCAT(A30," ",B30)</f>
        <v>GMICA OBSOLETO</v>
      </c>
      <c r="E30" t="s">
        <v>253</v>
      </c>
      <c r="F30" t="s">
        <v>503</v>
      </c>
    </row>
    <row r="31" spans="1:8" x14ac:dyDescent="0.25">
      <c r="A31" t="s">
        <v>46</v>
      </c>
      <c r="B31" t="s">
        <v>286</v>
      </c>
      <c r="C31" t="str">
        <f>_xlfn.XLOOKUP(A31,SEGMENT!A:A,SEGMENT!B:B)</f>
        <v>B&amp;T</v>
      </c>
      <c r="D31" t="str">
        <f t="shared" si="1"/>
        <v>GMICA OBSOLETO</v>
      </c>
      <c r="E31" t="s">
        <v>254</v>
      </c>
      <c r="F31" t="s">
        <v>503</v>
      </c>
    </row>
    <row r="32" spans="1:8" x14ac:dyDescent="0.25">
      <c r="A32" t="s">
        <v>46</v>
      </c>
      <c r="B32" t="s">
        <v>286</v>
      </c>
      <c r="C32" t="str">
        <f>_xlfn.XLOOKUP(A32,SEGMENT!A:A,SEGMENT!B:B)</f>
        <v>B&amp;T</v>
      </c>
      <c r="D32" t="str">
        <f t="shared" si="1"/>
        <v>GMICA OBSOLETO</v>
      </c>
      <c r="E32" t="s">
        <v>255</v>
      </c>
      <c r="F32" t="s">
        <v>503</v>
      </c>
    </row>
    <row r="33" spans="1:7" x14ac:dyDescent="0.25">
      <c r="A33" t="s">
        <v>46</v>
      </c>
      <c r="B33" t="s">
        <v>46</v>
      </c>
      <c r="C33" t="str">
        <f>_xlfn.XLOOKUP(A33,SEGMENT!A:A,SEGMENT!B:B)</f>
        <v>B&amp;T</v>
      </c>
      <c r="D33" t="str">
        <f t="shared" si="1"/>
        <v>GMICA GMICA</v>
      </c>
      <c r="E33" t="s">
        <v>253</v>
      </c>
      <c r="F33">
        <v>0</v>
      </c>
      <c r="G33" t="s">
        <v>253</v>
      </c>
    </row>
    <row r="34" spans="1:7" x14ac:dyDescent="0.25">
      <c r="A34" t="s">
        <v>46</v>
      </c>
      <c r="B34" t="s">
        <v>46</v>
      </c>
      <c r="C34" t="str">
        <f>_xlfn.XLOOKUP(A34,SEGMENT!A:A,SEGMENT!B:B)</f>
        <v>B&amp;T</v>
      </c>
      <c r="D34" t="str">
        <f t="shared" si="1"/>
        <v>GMICA GMICA</v>
      </c>
      <c r="E34" t="s">
        <v>254</v>
      </c>
      <c r="F34">
        <v>0</v>
      </c>
    </row>
    <row r="35" spans="1:7" x14ac:dyDescent="0.25">
      <c r="A35" t="s">
        <v>46</v>
      </c>
      <c r="B35" t="s">
        <v>46</v>
      </c>
      <c r="C35" t="str">
        <f>_xlfn.XLOOKUP(A35,SEGMENT!A:A,SEGMENT!B:B)</f>
        <v>B&amp;T</v>
      </c>
      <c r="D35" t="str">
        <f t="shared" si="1"/>
        <v>GMICA GMICA</v>
      </c>
      <c r="E35" t="s">
        <v>255</v>
      </c>
      <c r="F35">
        <v>0</v>
      </c>
      <c r="G35" t="s">
        <v>255</v>
      </c>
    </row>
    <row r="36" spans="1:7" x14ac:dyDescent="0.25">
      <c r="A36" t="s">
        <v>46</v>
      </c>
      <c r="B36" t="s">
        <v>46</v>
      </c>
      <c r="C36" t="str">
        <f>_xlfn.XLOOKUP(A36,SEGMENT!A:A,SEGMENT!B:B)</f>
        <v>B&amp;T</v>
      </c>
      <c r="D36" t="str">
        <f t="shared" si="1"/>
        <v>GMICA GMICA</v>
      </c>
      <c r="E36" t="s">
        <v>256</v>
      </c>
      <c r="F36">
        <v>0</v>
      </c>
      <c r="G36" t="s">
        <v>256</v>
      </c>
    </row>
    <row r="37" spans="1:7" x14ac:dyDescent="0.25">
      <c r="A37" t="s">
        <v>46</v>
      </c>
      <c r="B37" t="s">
        <v>46</v>
      </c>
      <c r="C37" t="str">
        <f>_xlfn.XLOOKUP(A37,SEGMENT!A:A,SEGMENT!B:B)</f>
        <v>B&amp;T</v>
      </c>
      <c r="D37" t="str">
        <f t="shared" si="1"/>
        <v>GMICA GMICA</v>
      </c>
      <c r="E37" t="s">
        <v>257</v>
      </c>
      <c r="F37">
        <v>0</v>
      </c>
      <c r="G37" t="s">
        <v>257</v>
      </c>
    </row>
    <row r="38" spans="1:7" x14ac:dyDescent="0.25">
      <c r="A38" t="s">
        <v>46</v>
      </c>
      <c r="B38" t="s">
        <v>46</v>
      </c>
      <c r="C38" t="str">
        <f>_xlfn.XLOOKUP(A38,SEGMENT!A:A,SEGMENT!B:B)</f>
        <v>B&amp;T</v>
      </c>
      <c r="D38" t="str">
        <f t="shared" si="1"/>
        <v>GMICA GMICA</v>
      </c>
      <c r="E38" t="s">
        <v>258</v>
      </c>
      <c r="F38">
        <v>0</v>
      </c>
      <c r="G38" t="s">
        <v>258</v>
      </c>
    </row>
    <row r="39" spans="1:7" x14ac:dyDescent="0.25">
      <c r="A39" t="s">
        <v>46</v>
      </c>
      <c r="B39" t="s">
        <v>46</v>
      </c>
      <c r="C39" t="str">
        <f>_xlfn.XLOOKUP(A39,SEGMENT!A:A,SEGMENT!B:B)</f>
        <v>B&amp;T</v>
      </c>
      <c r="D39" t="str">
        <f t="shared" si="1"/>
        <v>GMICA GMICA</v>
      </c>
      <c r="E39" t="s">
        <v>259</v>
      </c>
      <c r="F39">
        <v>0</v>
      </c>
    </row>
    <row r="40" spans="1:7" x14ac:dyDescent="0.25">
      <c r="A40" t="s">
        <v>46</v>
      </c>
      <c r="B40" t="s">
        <v>46</v>
      </c>
      <c r="C40" t="str">
        <f>_xlfn.XLOOKUP(A40,SEGMENT!A:A,SEGMENT!B:B)</f>
        <v>B&amp;T</v>
      </c>
      <c r="D40" t="str">
        <f t="shared" si="1"/>
        <v>GMICA GMICA</v>
      </c>
      <c r="E40" t="s">
        <v>260</v>
      </c>
      <c r="F40">
        <v>0</v>
      </c>
    </row>
    <row r="41" spans="1:7" x14ac:dyDescent="0.25">
      <c r="A41" t="s">
        <v>46</v>
      </c>
      <c r="B41" t="s">
        <v>46</v>
      </c>
      <c r="C41" t="str">
        <f>_xlfn.XLOOKUP(A41,SEGMENT!A:A,SEGMENT!B:B)</f>
        <v>B&amp;T</v>
      </c>
      <c r="D41" t="str">
        <f t="shared" si="1"/>
        <v>GMICA GMICA</v>
      </c>
      <c r="E41" t="s">
        <v>264</v>
      </c>
      <c r="F41">
        <v>0</v>
      </c>
      <c r="G41" t="s">
        <v>264</v>
      </c>
    </row>
    <row r="42" spans="1:7" x14ac:dyDescent="0.25">
      <c r="A42" t="s">
        <v>46</v>
      </c>
      <c r="B42" t="s">
        <v>46</v>
      </c>
      <c r="C42" t="str">
        <f>_xlfn.XLOOKUP(A42,SEGMENT!A:A,SEGMENT!B:B)</f>
        <v>B&amp;T</v>
      </c>
      <c r="D42" t="str">
        <f t="shared" si="1"/>
        <v>GMICA GMICA</v>
      </c>
      <c r="E42" t="s">
        <v>266</v>
      </c>
      <c r="F42" t="s">
        <v>266</v>
      </c>
    </row>
    <row r="43" spans="1:7" x14ac:dyDescent="0.25">
      <c r="A43" t="s">
        <v>2</v>
      </c>
      <c r="B43" t="s">
        <v>30</v>
      </c>
      <c r="C43" t="str">
        <f>_xlfn.XLOOKUP(A43,SEGMENT!A:A,SEGMENT!B:B)</f>
        <v>SUV-B</v>
      </c>
      <c r="D43" t="str">
        <f t="shared" si="1"/>
        <v>GROOVE RS MT</v>
      </c>
      <c r="E43" t="s">
        <v>2</v>
      </c>
      <c r="F43" t="s">
        <v>30</v>
      </c>
    </row>
    <row r="44" spans="1:7" x14ac:dyDescent="0.25">
      <c r="A44" t="s">
        <v>2</v>
      </c>
      <c r="B44" t="s">
        <v>31</v>
      </c>
      <c r="C44" t="str">
        <f>_xlfn.XLOOKUP(A44,SEGMENT!A:A,SEGMENT!B:B)</f>
        <v>SUV-B</v>
      </c>
      <c r="D44" t="str">
        <f t="shared" si="1"/>
        <v>GROOVE RS AT</v>
      </c>
      <c r="E44" t="s">
        <v>2</v>
      </c>
      <c r="F44" t="s">
        <v>88</v>
      </c>
    </row>
    <row r="45" spans="1:7" x14ac:dyDescent="0.25">
      <c r="A45" t="s">
        <v>2</v>
      </c>
      <c r="B45" t="s">
        <v>49</v>
      </c>
      <c r="C45" t="str">
        <f>_xlfn.XLOOKUP(A45,SEGMENT!A:A,SEGMENT!B:B)</f>
        <v>SUV-B</v>
      </c>
      <c r="D45" t="str">
        <f t="shared" si="1"/>
        <v>GROOVE PREMIER MT</v>
      </c>
      <c r="E45" t="s">
        <v>2</v>
      </c>
      <c r="F45" t="s">
        <v>49</v>
      </c>
    </row>
    <row r="46" spans="1:7" x14ac:dyDescent="0.25">
      <c r="A46" t="s">
        <v>2</v>
      </c>
      <c r="B46" t="s">
        <v>28</v>
      </c>
      <c r="C46" t="str">
        <f>_xlfn.XLOOKUP(A46,SEGMENT!A:A,SEGMENT!B:B)</f>
        <v>SUV-B</v>
      </c>
      <c r="D46" t="str">
        <f t="shared" si="1"/>
        <v>GROOVE LTZ MT</v>
      </c>
      <c r="E46" t="s">
        <v>2</v>
      </c>
      <c r="F46" t="s">
        <v>28</v>
      </c>
      <c r="G46" t="s">
        <v>67</v>
      </c>
    </row>
    <row r="47" spans="1:7" x14ac:dyDescent="0.25">
      <c r="A47" t="s">
        <v>2</v>
      </c>
      <c r="B47" t="s">
        <v>27</v>
      </c>
      <c r="C47" t="str">
        <f>_xlfn.XLOOKUP(A47,SEGMENT!A:A,SEGMENT!B:B)</f>
        <v>SUV-B</v>
      </c>
      <c r="D47" t="str">
        <f t="shared" si="1"/>
        <v>GROOVE LT MT</v>
      </c>
      <c r="E47" t="s">
        <v>2</v>
      </c>
      <c r="F47" t="s">
        <v>27</v>
      </c>
    </row>
    <row r="48" spans="1:7" x14ac:dyDescent="0.25">
      <c r="A48" t="s">
        <v>205</v>
      </c>
      <c r="B48" t="s">
        <v>31</v>
      </c>
      <c r="C48" t="str">
        <f>_xlfn.XLOOKUP(A48,SEGMENT!A:A,SEGMENT!B:B)</f>
        <v>PICKUP-C</v>
      </c>
      <c r="D48" t="str">
        <f t="shared" si="1"/>
        <v>MONTANA RS AT</v>
      </c>
      <c r="E48" t="s">
        <v>16</v>
      </c>
      <c r="F48" t="s">
        <v>31</v>
      </c>
    </row>
    <row r="49" spans="1:7" x14ac:dyDescent="0.25">
      <c r="A49" t="s">
        <v>205</v>
      </c>
      <c r="B49" t="s">
        <v>49</v>
      </c>
      <c r="C49" t="str">
        <f>_xlfn.XLOOKUP(A49,SEGMENT!A:A,SEGMENT!B:B)</f>
        <v>PICKUP-C</v>
      </c>
      <c r="D49" t="str">
        <f t="shared" si="1"/>
        <v>MONTANA PREMIER MT</v>
      </c>
      <c r="E49" t="s">
        <v>16</v>
      </c>
      <c r="F49" t="s">
        <v>49</v>
      </c>
    </row>
    <row r="50" spans="1:7" x14ac:dyDescent="0.25">
      <c r="A50" t="s">
        <v>205</v>
      </c>
      <c r="B50" t="s">
        <v>29</v>
      </c>
      <c r="C50" t="str">
        <f>_xlfn.XLOOKUP(A50,SEGMENT!A:A,SEGMENT!B:B)</f>
        <v>PICKUP-C</v>
      </c>
      <c r="D50" t="str">
        <f t="shared" si="1"/>
        <v>MONTANA PREMIER AT</v>
      </c>
      <c r="E50" t="s">
        <v>16</v>
      </c>
      <c r="F50" t="s">
        <v>29</v>
      </c>
    </row>
    <row r="51" spans="1:7" x14ac:dyDescent="0.25">
      <c r="A51" t="s">
        <v>205</v>
      </c>
      <c r="B51" t="s">
        <v>34</v>
      </c>
      <c r="C51" t="str">
        <f>_xlfn.XLOOKUP(A51,SEGMENT!A:A,SEGMENT!B:B)</f>
        <v>PICKUP-C</v>
      </c>
      <c r="D51" t="str">
        <f t="shared" si="1"/>
        <v>MONTANA LTZ AT</v>
      </c>
      <c r="E51" t="s">
        <v>16</v>
      </c>
      <c r="F51" t="s">
        <v>34</v>
      </c>
    </row>
    <row r="52" spans="1:7" x14ac:dyDescent="0.25">
      <c r="A52" t="s">
        <v>205</v>
      </c>
      <c r="B52" t="s">
        <v>27</v>
      </c>
      <c r="C52" t="str">
        <f>_xlfn.XLOOKUP(A52,SEGMENT!A:A,SEGMENT!B:B)</f>
        <v>PICKUP-C</v>
      </c>
      <c r="D52" t="str">
        <f t="shared" si="1"/>
        <v>MONTANA LT MT</v>
      </c>
      <c r="E52" t="s">
        <v>16</v>
      </c>
      <c r="F52" t="s">
        <v>27</v>
      </c>
      <c r="G52" t="s">
        <v>67</v>
      </c>
    </row>
    <row r="53" spans="1:7" x14ac:dyDescent="0.25">
      <c r="A53" t="s">
        <v>205</v>
      </c>
      <c r="B53" t="s">
        <v>33</v>
      </c>
      <c r="C53" t="str">
        <f>_xlfn.XLOOKUP(A53,SEGMENT!A:A,SEGMENT!B:B)</f>
        <v>PICKUP-C</v>
      </c>
      <c r="D53" t="str">
        <f t="shared" si="1"/>
        <v>MONTANA LT AT</v>
      </c>
      <c r="E53" t="s">
        <v>16</v>
      </c>
      <c r="F53" t="s">
        <v>33</v>
      </c>
    </row>
    <row r="54" spans="1:7" x14ac:dyDescent="0.25">
      <c r="A54" t="s">
        <v>263</v>
      </c>
      <c r="B54" t="s">
        <v>286</v>
      </c>
      <c r="C54" t="str">
        <f>_xlfn.XLOOKUP(A54,SEGMENT!A:A,SEGMENT!B:B)</f>
        <v>VAN-B</v>
      </c>
      <c r="D54" t="str">
        <f t="shared" si="1"/>
        <v>N300 OBSOLETO</v>
      </c>
      <c r="E54" t="s">
        <v>263</v>
      </c>
      <c r="F54">
        <v>0</v>
      </c>
    </row>
    <row r="55" spans="1:7" x14ac:dyDescent="0.25">
      <c r="A55" t="s">
        <v>9</v>
      </c>
      <c r="B55" t="s">
        <v>59</v>
      </c>
      <c r="C55" t="str">
        <f>_xlfn.XLOOKUP(A55,SEGMENT!A:A,SEGMENT!B:B)</f>
        <v>VAN-B</v>
      </c>
      <c r="D55" t="str">
        <f t="shared" si="1"/>
        <v>N400 CARGO FULL</v>
      </c>
      <c r="E55" t="s">
        <v>9</v>
      </c>
      <c r="F55" t="s">
        <v>91</v>
      </c>
    </row>
    <row r="56" spans="1:7" x14ac:dyDescent="0.25">
      <c r="A56" t="s">
        <v>9</v>
      </c>
      <c r="B56" t="s">
        <v>58</v>
      </c>
      <c r="C56" t="str">
        <f>_xlfn.XLOOKUP(A56,SEGMENT!A:A,SEGMENT!B:B)</f>
        <v>VAN-B</v>
      </c>
      <c r="D56" t="str">
        <f t="shared" si="1"/>
        <v>N400 CARGO</v>
      </c>
      <c r="E56" t="s">
        <v>9</v>
      </c>
      <c r="F56" t="s">
        <v>90</v>
      </c>
      <c r="G56" t="s">
        <v>67</v>
      </c>
    </row>
    <row r="57" spans="1:7" x14ac:dyDescent="0.25">
      <c r="A57" t="s">
        <v>9</v>
      </c>
      <c r="B57" t="s">
        <v>286</v>
      </c>
      <c r="C57" t="str">
        <f>_xlfn.XLOOKUP(A57,SEGMENT!A:A,SEGMENT!B:B)</f>
        <v>VAN-B</v>
      </c>
      <c r="D57" t="str">
        <f t="shared" si="1"/>
        <v>N400 OBSOLETO</v>
      </c>
      <c r="E57" t="s">
        <v>9</v>
      </c>
      <c r="F57" t="s">
        <v>503</v>
      </c>
    </row>
    <row r="58" spans="1:7" x14ac:dyDescent="0.25">
      <c r="A58" t="s">
        <v>46</v>
      </c>
      <c r="B58" t="s">
        <v>286</v>
      </c>
      <c r="C58" t="str">
        <f>_xlfn.XLOOKUP(A58,SEGMENT!A:A,SEGMENT!B:B)</f>
        <v>B&amp;T</v>
      </c>
      <c r="D58" t="str">
        <f t="shared" si="1"/>
        <v>GMICA OBSOLETO</v>
      </c>
      <c r="E58" t="s">
        <v>256</v>
      </c>
      <c r="F58" t="s">
        <v>503</v>
      </c>
    </row>
    <row r="59" spans="1:7" x14ac:dyDescent="0.25">
      <c r="A59" t="s">
        <v>46</v>
      </c>
      <c r="B59" t="s">
        <v>286</v>
      </c>
      <c r="C59" t="str">
        <f>_xlfn.XLOOKUP(A59,SEGMENT!A:A,SEGMENT!B:B)</f>
        <v>B&amp;T</v>
      </c>
      <c r="D59" t="str">
        <f t="shared" si="1"/>
        <v>GMICA OBSOLETO</v>
      </c>
      <c r="E59" t="s">
        <v>257</v>
      </c>
      <c r="F59" t="s">
        <v>503</v>
      </c>
    </row>
    <row r="60" spans="1:7" x14ac:dyDescent="0.25">
      <c r="A60" t="s">
        <v>46</v>
      </c>
      <c r="B60" t="s">
        <v>286</v>
      </c>
      <c r="C60" t="str">
        <f>_xlfn.XLOOKUP(A60,SEGMENT!A:A,SEGMENT!B:B)</f>
        <v>B&amp;T</v>
      </c>
      <c r="D60" t="str">
        <f t="shared" si="1"/>
        <v>GMICA OBSOLETO</v>
      </c>
      <c r="E60" t="s">
        <v>258</v>
      </c>
      <c r="F60" t="s">
        <v>503</v>
      </c>
    </row>
    <row r="61" spans="1:7" x14ac:dyDescent="0.25">
      <c r="A61" t="s">
        <v>46</v>
      </c>
      <c r="B61" t="s">
        <v>286</v>
      </c>
      <c r="C61" t="str">
        <f>_xlfn.XLOOKUP(A61,SEGMENT!A:A,SEGMENT!B:B)</f>
        <v>B&amp;T</v>
      </c>
      <c r="D61" t="str">
        <f t="shared" ref="D61:D89" si="2">_xlfn.CONCAT(A61," ",B61)</f>
        <v>GMICA OBSOLETO</v>
      </c>
      <c r="E61" t="s">
        <v>259</v>
      </c>
      <c r="F61" t="s">
        <v>503</v>
      </c>
    </row>
    <row r="62" spans="1:7" x14ac:dyDescent="0.25">
      <c r="A62" t="s">
        <v>46</v>
      </c>
      <c r="B62" t="s">
        <v>286</v>
      </c>
      <c r="C62" t="str">
        <f>_xlfn.XLOOKUP(A62,SEGMENT!A:A,SEGMENT!B:B)</f>
        <v>B&amp;T</v>
      </c>
      <c r="D62" t="str">
        <f t="shared" si="2"/>
        <v>GMICA OBSOLETO</v>
      </c>
      <c r="E62" t="s">
        <v>260</v>
      </c>
      <c r="F62" t="s">
        <v>503</v>
      </c>
    </row>
    <row r="63" spans="1:7" x14ac:dyDescent="0.25">
      <c r="A63" t="s">
        <v>36</v>
      </c>
      <c r="B63" t="s">
        <v>30</v>
      </c>
      <c r="C63" t="str">
        <f>_xlfn.XLOOKUP(A63,SEGMENT!A:A,SEGMENT!B:B)</f>
        <v>CAR-B</v>
      </c>
      <c r="D63" t="str">
        <f t="shared" si="2"/>
        <v>ONIX RS MT</v>
      </c>
      <c r="E63" t="s">
        <v>7</v>
      </c>
      <c r="F63" t="s">
        <v>30</v>
      </c>
    </row>
    <row r="64" spans="1:7" x14ac:dyDescent="0.25">
      <c r="A64" t="s">
        <v>36</v>
      </c>
      <c r="B64" t="s">
        <v>31</v>
      </c>
      <c r="C64" t="str">
        <f>_xlfn.XLOOKUP(A64,SEGMENT!A:A,SEGMENT!B:B)</f>
        <v>CAR-B</v>
      </c>
      <c r="D64" t="str">
        <f t="shared" si="2"/>
        <v>ONIX RS AT</v>
      </c>
      <c r="E64" t="s">
        <v>7</v>
      </c>
      <c r="F64" t="s">
        <v>31</v>
      </c>
    </row>
    <row r="65" spans="1:7" x14ac:dyDescent="0.25">
      <c r="A65" t="s">
        <v>36</v>
      </c>
      <c r="B65" t="s">
        <v>29</v>
      </c>
      <c r="C65" t="str">
        <f>_xlfn.XLOOKUP(A65,SEGMENT!A:A,SEGMENT!B:B)</f>
        <v>CAR-B</v>
      </c>
      <c r="D65" t="str">
        <f t="shared" si="2"/>
        <v>ONIX PREMIER AT</v>
      </c>
      <c r="E65" t="s">
        <v>7</v>
      </c>
      <c r="F65" t="s">
        <v>29</v>
      </c>
      <c r="G65" t="s">
        <v>67</v>
      </c>
    </row>
    <row r="66" spans="1:7" x14ac:dyDescent="0.25">
      <c r="A66" t="s">
        <v>36</v>
      </c>
      <c r="B66" t="s">
        <v>28</v>
      </c>
      <c r="C66" t="str">
        <f>_xlfn.XLOOKUP(A66,SEGMENT!A:A,SEGMENT!B:B)</f>
        <v>CAR-B</v>
      </c>
      <c r="D66" t="str">
        <f t="shared" si="2"/>
        <v>ONIX LTZ MT</v>
      </c>
      <c r="E66" t="s">
        <v>7</v>
      </c>
      <c r="F66" t="s">
        <v>28</v>
      </c>
    </row>
    <row r="67" spans="1:7" x14ac:dyDescent="0.25">
      <c r="A67" t="s">
        <v>36</v>
      </c>
      <c r="B67" t="s">
        <v>27</v>
      </c>
      <c r="C67" t="str">
        <f>_xlfn.XLOOKUP(A67,SEGMENT!A:A,SEGMENT!B:B)</f>
        <v>CAR-B</v>
      </c>
      <c r="D67" t="str">
        <f t="shared" si="2"/>
        <v>ONIX LT MT</v>
      </c>
      <c r="E67" t="s">
        <v>7</v>
      </c>
      <c r="F67" t="s">
        <v>27</v>
      </c>
    </row>
    <row r="68" spans="1:7" x14ac:dyDescent="0.25">
      <c r="A68" t="s">
        <v>36</v>
      </c>
      <c r="B68" t="s">
        <v>286</v>
      </c>
      <c r="C68" t="str">
        <f>_xlfn.XLOOKUP(A68,SEGMENT!A:A,SEGMENT!B:B)</f>
        <v>CAR-B</v>
      </c>
      <c r="D68" t="str">
        <f t="shared" si="2"/>
        <v>ONIX OBSOLETO</v>
      </c>
      <c r="E68" t="s">
        <v>7</v>
      </c>
      <c r="F68" t="s">
        <v>503</v>
      </c>
    </row>
    <row r="69" spans="1:7" x14ac:dyDescent="0.25">
      <c r="A69" t="s">
        <v>497</v>
      </c>
      <c r="B69" t="s">
        <v>29</v>
      </c>
      <c r="C69" t="str">
        <f>_xlfn.XLOOKUP(A69,SEGMENT!A:A,SEGMENT!B:B)</f>
        <v>CAR-B</v>
      </c>
      <c r="D69" t="str">
        <f t="shared" si="2"/>
        <v>ONIX NB PREMIER AT</v>
      </c>
      <c r="E69" t="s">
        <v>8</v>
      </c>
      <c r="F69" t="s">
        <v>29</v>
      </c>
    </row>
    <row r="70" spans="1:7" x14ac:dyDescent="0.25">
      <c r="A70" t="s">
        <v>497</v>
      </c>
      <c r="B70" t="s">
        <v>28</v>
      </c>
      <c r="C70" t="str">
        <f>_xlfn.XLOOKUP(A70,SEGMENT!A:A,SEGMENT!B:B)</f>
        <v>CAR-B</v>
      </c>
      <c r="D70" t="str">
        <f t="shared" si="2"/>
        <v>ONIX NB LTZ MT</v>
      </c>
      <c r="E70" t="s">
        <v>8</v>
      </c>
      <c r="F70" t="s">
        <v>28</v>
      </c>
    </row>
    <row r="71" spans="1:7" x14ac:dyDescent="0.25">
      <c r="A71" t="s">
        <v>497</v>
      </c>
      <c r="B71" t="s">
        <v>27</v>
      </c>
      <c r="C71" t="str">
        <f>_xlfn.XLOOKUP(A71,SEGMENT!A:A,SEGMENT!B:B)</f>
        <v>CAR-B</v>
      </c>
      <c r="D71" t="str">
        <f t="shared" si="2"/>
        <v>ONIX NB LT MT</v>
      </c>
      <c r="E71" t="s">
        <v>8</v>
      </c>
      <c r="F71" t="s">
        <v>27</v>
      </c>
    </row>
    <row r="72" spans="1:7" x14ac:dyDescent="0.25">
      <c r="A72" t="s">
        <v>497</v>
      </c>
      <c r="B72" t="s">
        <v>32</v>
      </c>
      <c r="C72" t="str">
        <f>_xlfn.XLOOKUP(A72,SEGMENT!A:A,SEGMENT!B:B)</f>
        <v>CAR-B</v>
      </c>
      <c r="D72" t="str">
        <f t="shared" si="2"/>
        <v>ONIX NB LS MT</v>
      </c>
      <c r="E72" t="s">
        <v>8</v>
      </c>
      <c r="F72" t="s">
        <v>32</v>
      </c>
      <c r="G72" t="s">
        <v>67</v>
      </c>
    </row>
    <row r="73" spans="1:7" x14ac:dyDescent="0.25">
      <c r="A73" t="s">
        <v>497</v>
      </c>
      <c r="B73" t="s">
        <v>286</v>
      </c>
      <c r="C73" t="str">
        <f>_xlfn.XLOOKUP(A73,SEGMENT!A:A,SEGMENT!B:B)</f>
        <v>CAR-B</v>
      </c>
      <c r="D73" t="str">
        <f t="shared" si="2"/>
        <v>ONIX NB OBSOLETO</v>
      </c>
      <c r="E73" t="s">
        <v>8</v>
      </c>
      <c r="F73" t="s">
        <v>503</v>
      </c>
    </row>
    <row r="74" spans="1:7" x14ac:dyDescent="0.25">
      <c r="A74" t="s">
        <v>282</v>
      </c>
      <c r="B74" t="s">
        <v>28</v>
      </c>
      <c r="C74" t="str">
        <f>_xlfn.XLOOKUP(A74,SEGMENT!A:A,SEGMENT!B:B)</f>
        <v>CAR-B</v>
      </c>
      <c r="D74" t="str">
        <f t="shared" si="2"/>
        <v>SAIL LTZ MT</v>
      </c>
      <c r="E74" t="s">
        <v>18</v>
      </c>
      <c r="F74" t="s">
        <v>28</v>
      </c>
    </row>
    <row r="75" spans="1:7" x14ac:dyDescent="0.25">
      <c r="A75" t="s">
        <v>282</v>
      </c>
      <c r="B75" t="s">
        <v>34</v>
      </c>
      <c r="C75" t="str">
        <f>_xlfn.XLOOKUP(A75,SEGMENT!A:A,SEGMENT!B:B)</f>
        <v>CAR-B</v>
      </c>
      <c r="D75" t="str">
        <f t="shared" si="2"/>
        <v>SAIL LTZ AT</v>
      </c>
      <c r="E75" t="s">
        <v>18</v>
      </c>
      <c r="F75" t="s">
        <v>82</v>
      </c>
    </row>
    <row r="76" spans="1:7" x14ac:dyDescent="0.25">
      <c r="A76" t="s">
        <v>282</v>
      </c>
      <c r="B76" t="s">
        <v>27</v>
      </c>
      <c r="C76" t="str">
        <f>_xlfn.XLOOKUP(A76,SEGMENT!A:A,SEGMENT!B:B)</f>
        <v>CAR-B</v>
      </c>
      <c r="D76" t="str">
        <f t="shared" si="2"/>
        <v>SAIL LT MT</v>
      </c>
      <c r="E76" t="s">
        <v>18</v>
      </c>
      <c r="F76" t="s">
        <v>27</v>
      </c>
      <c r="G76" t="s">
        <v>67</v>
      </c>
    </row>
    <row r="77" spans="1:7" x14ac:dyDescent="0.25">
      <c r="A77" t="s">
        <v>262</v>
      </c>
      <c r="B77" t="s">
        <v>286</v>
      </c>
      <c r="C77" t="str">
        <f>_xlfn.XLOOKUP(A77,SEGMENT!A:A,SEGMENT!B:B)</f>
        <v>CAR-B</v>
      </c>
      <c r="D77" t="str">
        <f t="shared" si="2"/>
        <v>SAIL NB OBSOLETO</v>
      </c>
      <c r="E77" t="s">
        <v>261</v>
      </c>
      <c r="F77" t="s">
        <v>503</v>
      </c>
    </row>
    <row r="78" spans="1:7" x14ac:dyDescent="0.25">
      <c r="A78" t="s">
        <v>262</v>
      </c>
      <c r="B78" t="s">
        <v>28</v>
      </c>
      <c r="C78" t="str">
        <f>_xlfn.XLOOKUP(A78,SEGMENT!A:A,SEGMENT!B:B)</f>
        <v>CAR-B</v>
      </c>
      <c r="D78" t="str">
        <f t="shared" si="2"/>
        <v>SAIL NB LTZ MT</v>
      </c>
      <c r="E78" t="s">
        <v>19</v>
      </c>
      <c r="F78" t="s">
        <v>28</v>
      </c>
    </row>
    <row r="79" spans="1:7" x14ac:dyDescent="0.25">
      <c r="A79" t="s">
        <v>262</v>
      </c>
      <c r="B79" t="s">
        <v>34</v>
      </c>
      <c r="C79" t="str">
        <f>_xlfn.XLOOKUP(A79,SEGMENT!A:A,SEGMENT!B:B)</f>
        <v>CAR-B</v>
      </c>
      <c r="D79" t="str">
        <f t="shared" si="2"/>
        <v>SAIL NB LTZ AT</v>
      </c>
      <c r="E79" t="s">
        <v>19</v>
      </c>
      <c r="F79" t="s">
        <v>82</v>
      </c>
    </row>
    <row r="80" spans="1:7" x14ac:dyDescent="0.25">
      <c r="A80" t="s">
        <v>262</v>
      </c>
      <c r="B80" t="s">
        <v>27</v>
      </c>
      <c r="C80" t="str">
        <f>_xlfn.XLOOKUP(A80,SEGMENT!A:A,SEGMENT!B:B)</f>
        <v>CAR-B</v>
      </c>
      <c r="D80" t="str">
        <f t="shared" si="2"/>
        <v>SAIL NB LT MT</v>
      </c>
      <c r="E80" t="s">
        <v>19</v>
      </c>
      <c r="F80" t="s">
        <v>27</v>
      </c>
      <c r="G80" t="s">
        <v>67</v>
      </c>
    </row>
    <row r="81" spans="1:8" x14ac:dyDescent="0.25">
      <c r="A81" t="s">
        <v>3</v>
      </c>
      <c r="B81" t="s">
        <v>62</v>
      </c>
      <c r="C81" t="str">
        <f>_xlfn.XLOOKUP(A81,SEGMENT!A:A,SEGMENT!B:B)</f>
        <v>PICKUP-E</v>
      </c>
      <c r="D81" t="str">
        <f t="shared" si="2"/>
        <v>SILVERADO ZR2</v>
      </c>
      <c r="E81" t="s">
        <v>3</v>
      </c>
      <c r="F81" t="s">
        <v>62</v>
      </c>
    </row>
    <row r="82" spans="1:8" x14ac:dyDescent="0.25">
      <c r="A82" t="s">
        <v>3</v>
      </c>
      <c r="B82" t="s">
        <v>54</v>
      </c>
      <c r="C82" t="str">
        <f>_xlfn.XLOOKUP(A82,SEGMENT!A:A,SEGMENT!B:B)</f>
        <v>PICKUP-E</v>
      </c>
      <c r="D82" t="str">
        <f t="shared" si="2"/>
        <v>SILVERADO Z71 AT</v>
      </c>
      <c r="E82" t="s">
        <v>3</v>
      </c>
      <c r="F82" t="s">
        <v>97</v>
      </c>
      <c r="G82" t="s">
        <v>276</v>
      </c>
    </row>
    <row r="83" spans="1:8" x14ac:dyDescent="0.25">
      <c r="A83" t="s">
        <v>3</v>
      </c>
      <c r="B83" t="s">
        <v>50</v>
      </c>
      <c r="C83" t="str">
        <f>_xlfn.XLOOKUP(A83,SEGMENT!A:A,SEGMENT!B:B)</f>
        <v>PICKUP-E</v>
      </c>
      <c r="D83" t="str">
        <f t="shared" si="2"/>
        <v>SILVERADO HC AT</v>
      </c>
      <c r="E83" t="s">
        <v>3</v>
      </c>
      <c r="F83" t="s">
        <v>96</v>
      </c>
      <c r="G83" t="s">
        <v>67</v>
      </c>
      <c r="H83" t="s">
        <v>269</v>
      </c>
    </row>
    <row r="84" spans="1:8" x14ac:dyDescent="0.25">
      <c r="A84" t="s">
        <v>3</v>
      </c>
      <c r="B84" t="s">
        <v>286</v>
      </c>
      <c r="C84" t="str">
        <f>_xlfn.XLOOKUP(A84,SEGMENT!A:A,SEGMENT!B:B)</f>
        <v>PICKUP-E</v>
      </c>
      <c r="D84" t="str">
        <f t="shared" si="2"/>
        <v>SILVERADO OBSOLETO</v>
      </c>
      <c r="E84" t="s">
        <v>3</v>
      </c>
      <c r="F84" t="s">
        <v>503</v>
      </c>
    </row>
    <row r="85" spans="1:8" x14ac:dyDescent="0.25">
      <c r="A85" t="s">
        <v>24</v>
      </c>
      <c r="B85" t="s">
        <v>64</v>
      </c>
      <c r="C85" t="str">
        <f>_xlfn.XLOOKUP(A85,SEGMENT!A:A,SEGMENT!B:B)</f>
        <v>SUV-B</v>
      </c>
      <c r="D85" t="str">
        <f t="shared" si="2"/>
        <v>SPARK EUV EUV</v>
      </c>
      <c r="E85" t="s">
        <v>39</v>
      </c>
      <c r="F85" t="s">
        <v>99</v>
      </c>
    </row>
    <row r="86" spans="1:8" x14ac:dyDescent="0.25">
      <c r="A86" t="s">
        <v>24</v>
      </c>
      <c r="B86" t="s">
        <v>64</v>
      </c>
      <c r="C86" t="str">
        <f>_xlfn.XLOOKUP(A86,SEGMENT!A:A,SEGMENT!B:B)</f>
        <v>SUV-B</v>
      </c>
      <c r="D86" t="str">
        <f t="shared" si="2"/>
        <v>SPARK EUV EUV</v>
      </c>
      <c r="E86" t="s">
        <v>24</v>
      </c>
      <c r="F86" t="s">
        <v>268</v>
      </c>
      <c r="G86" t="s">
        <v>64</v>
      </c>
    </row>
    <row r="87" spans="1:8" x14ac:dyDescent="0.25">
      <c r="A87" t="s">
        <v>12</v>
      </c>
      <c r="B87" t="s">
        <v>28</v>
      </c>
      <c r="C87" t="str">
        <f>_xlfn.XLOOKUP(A87,SEGMENT!A:A,SEGMENT!B:B)</f>
        <v>MPV-B</v>
      </c>
      <c r="D87" t="str">
        <f t="shared" si="2"/>
        <v>SPIN LTZ MT</v>
      </c>
      <c r="E87" t="s">
        <v>12</v>
      </c>
      <c r="F87" t="s">
        <v>49</v>
      </c>
    </row>
    <row r="88" spans="1:8" x14ac:dyDescent="0.25">
      <c r="A88" t="s">
        <v>12</v>
      </c>
      <c r="B88" t="s">
        <v>34</v>
      </c>
      <c r="C88" t="str">
        <f>_xlfn.XLOOKUP(A88,SEGMENT!A:A,SEGMENT!B:B)</f>
        <v>MPV-B</v>
      </c>
      <c r="D88" t="str">
        <f t="shared" si="2"/>
        <v>SPIN LTZ AT</v>
      </c>
      <c r="E88" t="s">
        <v>12</v>
      </c>
      <c r="F88" t="s">
        <v>29</v>
      </c>
      <c r="G88" t="s">
        <v>273</v>
      </c>
    </row>
    <row r="89" spans="1:8" x14ac:dyDescent="0.25">
      <c r="A89" t="s">
        <v>12</v>
      </c>
      <c r="B89" t="s">
        <v>286</v>
      </c>
      <c r="C89" t="str">
        <f>_xlfn.XLOOKUP(A89,SEGMENT!A:A,SEGMENT!B:B)</f>
        <v>MPV-B</v>
      </c>
      <c r="D89" t="str">
        <f t="shared" si="2"/>
        <v>SPIN OBSOLETO</v>
      </c>
      <c r="E89" t="s">
        <v>12</v>
      </c>
      <c r="F89" t="s">
        <v>503</v>
      </c>
    </row>
    <row r="90" spans="1:8" x14ac:dyDescent="0.25">
      <c r="A90" t="s">
        <v>4</v>
      </c>
      <c r="B90" t="s">
        <v>54</v>
      </c>
      <c r="C90" t="str">
        <f>_xlfn.XLOOKUP(A90,SEGMENT!A:A,SEGMENT!B:B)</f>
        <v>SUV-E</v>
      </c>
      <c r="D90" t="str">
        <f t="shared" ref="D90:D109" si="3">_xlfn.CONCAT(A90," ",B90)</f>
        <v>SUBURBAN Z71 AT</v>
      </c>
      <c r="E90" t="s">
        <v>4</v>
      </c>
      <c r="F90" t="s">
        <v>87</v>
      </c>
      <c r="G90" t="s">
        <v>67</v>
      </c>
    </row>
    <row r="91" spans="1:8" x14ac:dyDescent="0.25">
      <c r="A91" t="s">
        <v>4</v>
      </c>
      <c r="B91" t="s">
        <v>286</v>
      </c>
      <c r="C91" t="str">
        <f>_xlfn.XLOOKUP(A91,SEGMENT!A:A,SEGMENT!B:B)</f>
        <v>SUV-E</v>
      </c>
      <c r="D91" t="str">
        <f t="shared" si="3"/>
        <v>SUBURBAN OBSOLETO</v>
      </c>
      <c r="E91" t="s">
        <v>4</v>
      </c>
      <c r="F91" t="s">
        <v>503</v>
      </c>
    </row>
    <row r="92" spans="1:8" x14ac:dyDescent="0.25">
      <c r="A92" t="s">
        <v>5</v>
      </c>
      <c r="B92" t="s">
        <v>54</v>
      </c>
      <c r="C92" t="str">
        <f>_xlfn.XLOOKUP(A92,SEGMENT!A:A,SEGMENT!B:B)</f>
        <v>SUV-E</v>
      </c>
      <c r="D92" t="str">
        <f t="shared" si="3"/>
        <v>TAHOE Z71 AT</v>
      </c>
      <c r="E92" t="s">
        <v>5</v>
      </c>
      <c r="F92" t="s">
        <v>98</v>
      </c>
      <c r="G92" t="s">
        <v>67</v>
      </c>
    </row>
    <row r="93" spans="1:8" x14ac:dyDescent="0.25">
      <c r="A93" t="s">
        <v>5</v>
      </c>
      <c r="B93" t="s">
        <v>286</v>
      </c>
      <c r="C93" t="str">
        <f>_xlfn.XLOOKUP(A93,SEGMENT!A:A,SEGMENT!B:B)</f>
        <v>SUV-E</v>
      </c>
      <c r="D93" t="str">
        <f t="shared" si="3"/>
        <v>TAHOE OBSOLETO</v>
      </c>
      <c r="E93" t="s">
        <v>5</v>
      </c>
      <c r="F93" t="s">
        <v>503</v>
      </c>
    </row>
    <row r="94" spans="1:8" x14ac:dyDescent="0.25">
      <c r="A94" t="s">
        <v>20</v>
      </c>
      <c r="B94" t="s">
        <v>31</v>
      </c>
      <c r="C94" t="str">
        <f>_xlfn.XLOOKUP(A94,SEGMENT!A:A,SEGMENT!B:B)</f>
        <v>SUV-B</v>
      </c>
      <c r="D94" t="str">
        <f t="shared" si="3"/>
        <v>TRACKER RS AT</v>
      </c>
      <c r="E94" t="s">
        <v>13</v>
      </c>
      <c r="F94" t="s">
        <v>31</v>
      </c>
    </row>
    <row r="95" spans="1:8" x14ac:dyDescent="0.25">
      <c r="A95" t="s">
        <v>20</v>
      </c>
      <c r="B95" t="s">
        <v>29</v>
      </c>
      <c r="C95" t="str">
        <f>_xlfn.XLOOKUP(A95,SEGMENT!A:A,SEGMENT!B:B)</f>
        <v>SUV-B</v>
      </c>
      <c r="D95" t="str">
        <f t="shared" si="3"/>
        <v>TRACKER PREMIER AT</v>
      </c>
      <c r="E95" t="s">
        <v>13</v>
      </c>
      <c r="F95" t="s">
        <v>29</v>
      </c>
    </row>
    <row r="96" spans="1:8" x14ac:dyDescent="0.25">
      <c r="A96" t="s">
        <v>20</v>
      </c>
      <c r="B96" t="s">
        <v>28</v>
      </c>
      <c r="C96" t="str">
        <f>_xlfn.XLOOKUP(A96,SEGMENT!A:A,SEGMENT!B:B)</f>
        <v>SUV-B</v>
      </c>
      <c r="D96" t="str">
        <f t="shared" si="3"/>
        <v>TRACKER LTZ MT</v>
      </c>
      <c r="E96" t="s">
        <v>13</v>
      </c>
      <c r="F96" t="s">
        <v>28</v>
      </c>
    </row>
    <row r="97" spans="1:8" x14ac:dyDescent="0.25">
      <c r="A97" t="s">
        <v>20</v>
      </c>
      <c r="B97" t="s">
        <v>34</v>
      </c>
      <c r="C97" t="str">
        <f>_xlfn.XLOOKUP(A97,SEGMENT!A:A,SEGMENT!B:B)</f>
        <v>SUV-B</v>
      </c>
      <c r="D97" t="str">
        <f t="shared" si="3"/>
        <v>TRACKER LTZ AT</v>
      </c>
      <c r="E97" t="s">
        <v>13</v>
      </c>
      <c r="F97" t="s">
        <v>34</v>
      </c>
    </row>
    <row r="98" spans="1:8" x14ac:dyDescent="0.25">
      <c r="A98" t="s">
        <v>20</v>
      </c>
      <c r="B98" t="s">
        <v>32</v>
      </c>
      <c r="C98" t="str">
        <f>_xlfn.XLOOKUP(A98,SEGMENT!A:A,SEGMENT!B:B)</f>
        <v>SUV-B</v>
      </c>
      <c r="D98" t="str">
        <f t="shared" si="3"/>
        <v>TRACKER LS MT</v>
      </c>
      <c r="E98" t="s">
        <v>13</v>
      </c>
      <c r="F98" t="s">
        <v>32</v>
      </c>
      <c r="G98" t="s">
        <v>67</v>
      </c>
    </row>
    <row r="99" spans="1:8" x14ac:dyDescent="0.25">
      <c r="A99" t="s">
        <v>20</v>
      </c>
      <c r="B99" t="s">
        <v>32</v>
      </c>
      <c r="C99" t="str">
        <f>_xlfn.XLOOKUP(A99,SEGMENT!A:A,SEGMENT!B:B)</f>
        <v>SUV-B</v>
      </c>
      <c r="D99" t="str">
        <f t="shared" si="3"/>
        <v>TRACKER LS MT</v>
      </c>
      <c r="E99" t="s">
        <v>20</v>
      </c>
      <c r="F99" t="s">
        <v>27</v>
      </c>
    </row>
    <row r="100" spans="1:8" x14ac:dyDescent="0.25">
      <c r="A100" t="s">
        <v>20</v>
      </c>
      <c r="B100" t="s">
        <v>63</v>
      </c>
      <c r="C100" t="str">
        <f>_xlfn.XLOOKUP(A100,SEGMENT!A:A,SEGMENT!B:B)</f>
        <v>SUV-B</v>
      </c>
      <c r="D100" t="str">
        <f t="shared" si="3"/>
        <v>TRACKER LS AT</v>
      </c>
      <c r="E100" t="s">
        <v>13</v>
      </c>
      <c r="F100" t="s">
        <v>33</v>
      </c>
    </row>
    <row r="101" spans="1:8" x14ac:dyDescent="0.25">
      <c r="A101" t="s">
        <v>20</v>
      </c>
      <c r="B101" t="s">
        <v>63</v>
      </c>
      <c r="C101" t="str">
        <f>_xlfn.XLOOKUP(A101,SEGMENT!A:A,SEGMENT!B:B)</f>
        <v>SUV-B</v>
      </c>
      <c r="D101" t="str">
        <f t="shared" si="3"/>
        <v>TRACKER LS AT</v>
      </c>
      <c r="E101" t="s">
        <v>20</v>
      </c>
      <c r="F101" t="s">
        <v>33</v>
      </c>
    </row>
    <row r="102" spans="1:8" x14ac:dyDescent="0.25">
      <c r="A102" t="s">
        <v>20</v>
      </c>
      <c r="B102" t="s">
        <v>286</v>
      </c>
      <c r="C102" t="str">
        <f>_xlfn.XLOOKUP(A102,SEGMENT!A:A,SEGMENT!B:B)</f>
        <v>SUV-B</v>
      </c>
      <c r="D102" t="str">
        <f t="shared" si="3"/>
        <v>TRACKER OBSOLETO</v>
      </c>
      <c r="E102" t="s">
        <v>13</v>
      </c>
      <c r="F102" t="s">
        <v>503</v>
      </c>
    </row>
    <row r="103" spans="1:8" x14ac:dyDescent="0.25">
      <c r="A103" t="s">
        <v>10</v>
      </c>
      <c r="B103" t="s">
        <v>29</v>
      </c>
      <c r="C103" t="str">
        <f>_xlfn.XLOOKUP(A103,SEGMENT!A:A,SEGMENT!B:B)</f>
        <v>SUV-D</v>
      </c>
      <c r="D103" t="str">
        <f t="shared" si="3"/>
        <v>TRAILBLAZER PREMIER AT</v>
      </c>
      <c r="E103" t="s">
        <v>10</v>
      </c>
      <c r="F103" t="s">
        <v>67</v>
      </c>
      <c r="G103" t="s">
        <v>267</v>
      </c>
    </row>
    <row r="104" spans="1:8" x14ac:dyDescent="0.25">
      <c r="A104" t="s">
        <v>10</v>
      </c>
      <c r="B104" t="s">
        <v>286</v>
      </c>
      <c r="C104" t="str">
        <f>_xlfn.XLOOKUP(A104,SEGMENT!A:A,SEGMENT!B:B)</f>
        <v>SUV-D</v>
      </c>
      <c r="D104" t="str">
        <f t="shared" si="3"/>
        <v>TRAILBLAZER OBSOLETO</v>
      </c>
      <c r="E104" t="s">
        <v>10</v>
      </c>
      <c r="F104" t="s">
        <v>503</v>
      </c>
    </row>
    <row r="105" spans="1:8" x14ac:dyDescent="0.25">
      <c r="A105" t="s">
        <v>6</v>
      </c>
      <c r="B105" t="s">
        <v>54</v>
      </c>
      <c r="C105" t="str">
        <f>_xlfn.XLOOKUP(A105,SEGMENT!A:A,SEGMENT!B:B)</f>
        <v>SUV-D</v>
      </c>
      <c r="D105" t="str">
        <f t="shared" si="3"/>
        <v>TRAVERSE Z71 AT</v>
      </c>
      <c r="E105" t="s">
        <v>6</v>
      </c>
      <c r="F105" t="s">
        <v>87</v>
      </c>
    </row>
    <row r="106" spans="1:8" x14ac:dyDescent="0.25">
      <c r="A106" t="s">
        <v>6</v>
      </c>
      <c r="B106" t="s">
        <v>286</v>
      </c>
      <c r="C106" t="str">
        <f>_xlfn.XLOOKUP(A106,SEGMENT!A:A,SEGMENT!B:B)</f>
        <v>SUV-D</v>
      </c>
      <c r="D106" t="str">
        <f t="shared" si="3"/>
        <v>TRAVERSE OBSOLETO</v>
      </c>
      <c r="E106" t="s">
        <v>6</v>
      </c>
      <c r="F106" t="s">
        <v>93</v>
      </c>
      <c r="G106" t="s">
        <v>94</v>
      </c>
      <c r="H106" t="s">
        <v>95</v>
      </c>
    </row>
    <row r="107" spans="1:8" x14ac:dyDescent="0.25">
      <c r="A107" t="s">
        <v>6</v>
      </c>
      <c r="B107" t="s">
        <v>33</v>
      </c>
      <c r="C107" t="str">
        <f>_xlfn.XLOOKUP(A107,SEGMENT!A:A,SEGMENT!B:B)</f>
        <v>SUV-D</v>
      </c>
      <c r="D107" t="str">
        <f t="shared" si="3"/>
        <v>TRAVERSE LT AT</v>
      </c>
      <c r="E107" t="s">
        <v>6</v>
      </c>
      <c r="F107" t="s">
        <v>92</v>
      </c>
      <c r="G107" t="s">
        <v>67</v>
      </c>
      <c r="H107" t="s">
        <v>520</v>
      </c>
    </row>
    <row r="108" spans="1:8" x14ac:dyDescent="0.25">
      <c r="A108" t="s">
        <v>6</v>
      </c>
      <c r="B108" t="s">
        <v>50</v>
      </c>
      <c r="C108" t="str">
        <f>_xlfn.XLOOKUP(A108,SEGMENT!A:A,SEGMENT!B:B)</f>
        <v>SUV-D</v>
      </c>
      <c r="D108" t="str">
        <f t="shared" si="3"/>
        <v>TRAVERSE HC AT</v>
      </c>
      <c r="E108" t="s">
        <v>6</v>
      </c>
      <c r="F108" t="s">
        <v>83</v>
      </c>
    </row>
    <row r="109" spans="1:8" x14ac:dyDescent="0.25">
      <c r="A109" t="s">
        <v>6</v>
      </c>
      <c r="B109" t="s">
        <v>286</v>
      </c>
      <c r="C109" t="str">
        <f>_xlfn.XLOOKUP(A109,SEGMENT!A:A,SEGMENT!B:B)</f>
        <v>SUV-D</v>
      </c>
      <c r="D109" t="str">
        <f t="shared" si="3"/>
        <v>TRAVERSE OBSOLETO</v>
      </c>
      <c r="E109" t="s">
        <v>6</v>
      </c>
      <c r="F109" t="s">
        <v>503</v>
      </c>
    </row>
  </sheetData>
  <autoFilter ref="A1:H109" xr:uid="{0C893784-1314-4A04-B8BC-4D163A641E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C13E-CA39-4262-8366-1173898B55C2}">
  <dimension ref="A1:H118"/>
  <sheetViews>
    <sheetView zoomScaleNormal="100" workbookViewId="0">
      <pane ySplit="1" topLeftCell="A107" activePane="bottomLeft" state="frozen"/>
      <selection pane="bottomLeft" activeCell="D112" sqref="D112"/>
    </sheetView>
  </sheetViews>
  <sheetFormatPr defaultRowHeight="15" x14ac:dyDescent="0.25"/>
  <cols>
    <col min="1" max="1" width="14.85546875" bestFit="1" customWidth="1"/>
    <col min="2" max="2" width="11.42578125" bestFit="1" customWidth="1"/>
    <col min="3" max="3" width="11.42578125" customWidth="1"/>
    <col min="4" max="4" width="25.140625" bestFit="1" customWidth="1"/>
    <col min="5" max="5" width="21.42578125" bestFit="1" customWidth="1"/>
    <col min="6" max="6" width="38.140625" bestFit="1" customWidth="1"/>
    <col min="7" max="7" width="35" bestFit="1" customWidth="1"/>
    <col min="8" max="8" width="31.85546875" bestFit="1" customWidth="1"/>
  </cols>
  <sheetData>
    <row r="1" spans="1:8" x14ac:dyDescent="0.25">
      <c r="A1" s="2" t="s">
        <v>102</v>
      </c>
      <c r="B1" s="2" t="s">
        <v>48</v>
      </c>
      <c r="C1" s="2" t="s">
        <v>435</v>
      </c>
      <c r="D1" s="2" t="s">
        <v>436</v>
      </c>
      <c r="E1" s="2" t="s">
        <v>103</v>
      </c>
      <c r="F1" s="2" t="s">
        <v>104</v>
      </c>
      <c r="G1" s="2" t="s">
        <v>107</v>
      </c>
      <c r="H1" s="2" t="s">
        <v>105</v>
      </c>
    </row>
    <row r="2" spans="1:8" x14ac:dyDescent="0.25">
      <c r="A2" t="s">
        <v>282</v>
      </c>
      <c r="B2" t="s">
        <v>286</v>
      </c>
      <c r="C2" t="str">
        <f>_xlfn.XLOOKUP(A2,SEGMENT!A:A,SEGMENT!B:B)</f>
        <v>CAR-B</v>
      </c>
      <c r="D2" t="str">
        <f t="shared" ref="D2:D29" si="0">_xlfn.CONCAT(A2," ",B2)</f>
        <v>SAIL OBSOLETO</v>
      </c>
      <c r="E2" t="s">
        <v>153</v>
      </c>
      <c r="F2" t="s">
        <v>154</v>
      </c>
      <c r="G2" t="s">
        <v>155</v>
      </c>
      <c r="H2" t="s">
        <v>156</v>
      </c>
    </row>
    <row r="3" spans="1:8" x14ac:dyDescent="0.25">
      <c r="A3" t="s">
        <v>291</v>
      </c>
      <c r="B3" t="s">
        <v>286</v>
      </c>
      <c r="C3" t="str">
        <f>_xlfn.XLOOKUP(A3,SEGMENT!A:A,SEGMENT!B:B)</f>
        <v>CAR-A</v>
      </c>
      <c r="D3" t="str">
        <f t="shared" si="0"/>
        <v>BEAT OBSOLETO</v>
      </c>
      <c r="E3" t="s">
        <v>291</v>
      </c>
      <c r="F3" t="s">
        <v>303</v>
      </c>
      <c r="G3" t="s">
        <v>304</v>
      </c>
      <c r="H3" t="s">
        <v>305</v>
      </c>
    </row>
    <row r="4" spans="1:8" x14ac:dyDescent="0.25">
      <c r="A4" t="s">
        <v>14</v>
      </c>
      <c r="B4" t="s">
        <v>286</v>
      </c>
      <c r="C4" t="str">
        <f>_xlfn.XLOOKUP(A4,SEGMENT!A:A,SEGMENT!B:B)</f>
        <v>SUV-B</v>
      </c>
      <c r="D4" t="str">
        <f t="shared" si="0"/>
        <v>BOLT OBSOLETO</v>
      </c>
      <c r="E4" t="s">
        <v>336</v>
      </c>
      <c r="F4" t="s">
        <v>40</v>
      </c>
    </row>
    <row r="5" spans="1:8" x14ac:dyDescent="0.25">
      <c r="A5" t="s">
        <v>251</v>
      </c>
      <c r="B5" t="s">
        <v>286</v>
      </c>
      <c r="C5" t="str">
        <f>_xlfn.XLOOKUP(A5,SEGMENT!A:A,SEGMENT!B:B)</f>
        <v>SPORT</v>
      </c>
      <c r="D5" t="str">
        <f t="shared" si="0"/>
        <v>CAMARO OBSOLETO</v>
      </c>
      <c r="E5" t="s">
        <v>251</v>
      </c>
      <c r="F5" t="s">
        <v>337</v>
      </c>
    </row>
    <row r="6" spans="1:8" x14ac:dyDescent="0.25">
      <c r="A6" t="s">
        <v>22</v>
      </c>
      <c r="B6" t="s">
        <v>34</v>
      </c>
      <c r="C6" t="str">
        <f>_xlfn.XLOOKUP(A6,SEGMENT!A:A,SEGMENT!B:B)</f>
        <v>SUV-C</v>
      </c>
      <c r="D6" t="str">
        <f t="shared" si="0"/>
        <v>CAPTIVA LTZ AT</v>
      </c>
      <c r="E6" t="s">
        <v>108</v>
      </c>
      <c r="F6" t="s">
        <v>109</v>
      </c>
    </row>
    <row r="7" spans="1:8" x14ac:dyDescent="0.25">
      <c r="A7" t="s">
        <v>22</v>
      </c>
      <c r="B7" t="s">
        <v>28</v>
      </c>
      <c r="C7" t="str">
        <f>_xlfn.XLOOKUP(A7,SEGMENT!A:A,SEGMENT!B:B)</f>
        <v>SUV-C</v>
      </c>
      <c r="D7" t="str">
        <f t="shared" si="0"/>
        <v>CAPTIVA LTZ MT</v>
      </c>
      <c r="E7" t="s">
        <v>108</v>
      </c>
      <c r="F7" t="s">
        <v>110</v>
      </c>
    </row>
    <row r="8" spans="1:8" x14ac:dyDescent="0.25">
      <c r="A8" t="s">
        <v>22</v>
      </c>
      <c r="B8" t="s">
        <v>29</v>
      </c>
      <c r="C8" t="str">
        <f>_xlfn.XLOOKUP(A8,SEGMENT!A:A,SEGMENT!B:B)</f>
        <v>SUV-C</v>
      </c>
      <c r="D8" t="str">
        <f t="shared" si="0"/>
        <v>CAPTIVA PREMIER AT</v>
      </c>
      <c r="E8" t="s">
        <v>108</v>
      </c>
      <c r="F8" t="s">
        <v>111</v>
      </c>
    </row>
    <row r="9" spans="1:8" x14ac:dyDescent="0.25">
      <c r="A9" t="s">
        <v>22</v>
      </c>
      <c r="B9" t="s">
        <v>49</v>
      </c>
      <c r="C9" t="str">
        <f>_xlfn.XLOOKUP(A9,SEGMENT!A:A,SEGMENT!B:B)</f>
        <v>SUV-C</v>
      </c>
      <c r="D9" t="str">
        <f t="shared" si="0"/>
        <v>CAPTIVA PREMIER MT</v>
      </c>
      <c r="E9" t="s">
        <v>108</v>
      </c>
      <c r="F9" t="s">
        <v>112</v>
      </c>
    </row>
    <row r="10" spans="1:8" x14ac:dyDescent="0.25">
      <c r="A10" t="s">
        <v>22</v>
      </c>
      <c r="B10" t="s">
        <v>286</v>
      </c>
      <c r="C10" t="str">
        <f>_xlfn.XLOOKUP(A10,SEGMENT!A:A,SEGMENT!B:B)</f>
        <v>SUV-C</v>
      </c>
      <c r="D10" t="str">
        <f t="shared" si="0"/>
        <v>CAPTIVA OBSOLETO</v>
      </c>
      <c r="E10" t="s">
        <v>22</v>
      </c>
      <c r="F10" t="s">
        <v>345</v>
      </c>
      <c r="G10" t="s">
        <v>346</v>
      </c>
      <c r="H10" t="s">
        <v>347</v>
      </c>
    </row>
    <row r="11" spans="1:8" x14ac:dyDescent="0.25">
      <c r="A11" t="s">
        <v>22</v>
      </c>
      <c r="B11" t="s">
        <v>286</v>
      </c>
      <c r="C11" t="str">
        <f>_xlfn.XLOOKUP(A11,SEGMENT!A:A,SEGMENT!B:B)</f>
        <v>SUV-C</v>
      </c>
      <c r="D11" t="str">
        <f t="shared" si="0"/>
        <v>CAPTIVA OBSOLETO</v>
      </c>
      <c r="E11" t="s">
        <v>22</v>
      </c>
      <c r="F11" t="s">
        <v>348</v>
      </c>
      <c r="G11" t="s">
        <v>349</v>
      </c>
    </row>
    <row r="12" spans="1:8" x14ac:dyDescent="0.25">
      <c r="A12" t="s">
        <v>22</v>
      </c>
      <c r="B12" t="s">
        <v>286</v>
      </c>
      <c r="C12" t="str">
        <f>_xlfn.XLOOKUP(A12,SEGMENT!A:A,SEGMENT!B:B)</f>
        <v>SUV-C</v>
      </c>
      <c r="D12" t="str">
        <f t="shared" si="0"/>
        <v>CAPTIVA OBSOLETO</v>
      </c>
      <c r="E12" t="s">
        <v>362</v>
      </c>
      <c r="F12" t="s">
        <v>363</v>
      </c>
      <c r="G12" t="s">
        <v>364</v>
      </c>
    </row>
    <row r="13" spans="1:8" x14ac:dyDescent="0.25">
      <c r="A13" t="s">
        <v>452</v>
      </c>
      <c r="B13" t="s">
        <v>99</v>
      </c>
      <c r="C13" t="str">
        <f>_xlfn.XLOOKUP(A13,SEGMENT!A:A,SEGMENT!B:B)</f>
        <v>SUV-C</v>
      </c>
      <c r="D13" t="str">
        <f t="shared" si="0"/>
        <v>CAPTIVA EV EV</v>
      </c>
      <c r="E13" t="s">
        <v>174</v>
      </c>
      <c r="F13" t="s">
        <v>174</v>
      </c>
    </row>
    <row r="14" spans="1:8" x14ac:dyDescent="0.25">
      <c r="A14" t="s">
        <v>451</v>
      </c>
      <c r="B14" t="s">
        <v>65</v>
      </c>
      <c r="C14" t="str">
        <f>_xlfn.XLOOKUP(A14,SEGMENT!A:A,SEGMENT!B:B)</f>
        <v>SUV-C</v>
      </c>
      <c r="D14" t="str">
        <f t="shared" si="0"/>
        <v>CAPTIVA PHEV PHEV</v>
      </c>
      <c r="E14" t="s">
        <v>175</v>
      </c>
      <c r="F14" t="s">
        <v>175</v>
      </c>
    </row>
    <row r="15" spans="1:8" x14ac:dyDescent="0.25">
      <c r="A15" t="s">
        <v>452</v>
      </c>
      <c r="B15" t="s">
        <v>99</v>
      </c>
      <c r="C15" t="str">
        <f>_xlfn.XLOOKUP(A15,SEGMENT!A:A,SEGMENT!B:B)</f>
        <v>SUV-C</v>
      </c>
      <c r="D15" t="str">
        <f t="shared" si="0"/>
        <v>CAPTIVA EV EV</v>
      </c>
      <c r="E15" t="s">
        <v>25</v>
      </c>
      <c r="F15" t="s">
        <v>174</v>
      </c>
    </row>
    <row r="16" spans="1:8" x14ac:dyDescent="0.25">
      <c r="A16" t="s">
        <v>451</v>
      </c>
      <c r="B16" t="s">
        <v>65</v>
      </c>
      <c r="C16" t="str">
        <f>_xlfn.XLOOKUP(A16,SEGMENT!A:A,SEGMENT!B:B)</f>
        <v>SUV-C</v>
      </c>
      <c r="D16" t="str">
        <f t="shared" si="0"/>
        <v>CAPTIVA PHEV PHEV</v>
      </c>
      <c r="E16" t="s">
        <v>25</v>
      </c>
      <c r="F16" t="s">
        <v>175</v>
      </c>
    </row>
    <row r="17" spans="1:8" x14ac:dyDescent="0.25">
      <c r="A17" t="s">
        <v>498</v>
      </c>
      <c r="B17" t="s">
        <v>286</v>
      </c>
      <c r="C17" t="str">
        <f>_xlfn.XLOOKUP(A17,SEGMENT!A:A,SEGMENT!B:B)</f>
        <v>CAR-C</v>
      </c>
      <c r="D17" t="str">
        <f t="shared" si="0"/>
        <v>CAVALIER OBSOLETO</v>
      </c>
      <c r="E17" t="s">
        <v>332</v>
      </c>
      <c r="F17" t="s">
        <v>333</v>
      </c>
      <c r="G17" t="s">
        <v>334</v>
      </c>
      <c r="H17" t="s">
        <v>335</v>
      </c>
    </row>
    <row r="18" spans="1:8" x14ac:dyDescent="0.25">
      <c r="A18" t="s">
        <v>329</v>
      </c>
      <c r="B18" t="s">
        <v>286</v>
      </c>
      <c r="C18" t="str">
        <f>_xlfn.XLOOKUP(A18,SEGMENT!A:A,SEGMENT!B:B)</f>
        <v>CAR-B</v>
      </c>
      <c r="D18" t="str">
        <f t="shared" si="0"/>
        <v>COBALT OBSOLETO</v>
      </c>
      <c r="E18" t="s">
        <v>329</v>
      </c>
      <c r="F18" t="s">
        <v>330</v>
      </c>
      <c r="G18" t="s">
        <v>331</v>
      </c>
    </row>
    <row r="19" spans="1:8" x14ac:dyDescent="0.25">
      <c r="A19" t="s">
        <v>0</v>
      </c>
      <c r="B19" t="s">
        <v>50</v>
      </c>
      <c r="C19" t="str">
        <f>_xlfn.XLOOKUP(A19,SEGMENT!A:A,SEGMENT!B:B)</f>
        <v>PICKUP-D</v>
      </c>
      <c r="D19" t="str">
        <f t="shared" si="0"/>
        <v>COLORADO HC AT</v>
      </c>
      <c r="E19" t="s">
        <v>41</v>
      </c>
      <c r="F19" t="s">
        <v>113</v>
      </c>
    </row>
    <row r="20" spans="1:8" x14ac:dyDescent="0.25">
      <c r="A20" t="s">
        <v>0</v>
      </c>
      <c r="B20" t="s">
        <v>28</v>
      </c>
      <c r="C20" t="str">
        <f>_xlfn.XLOOKUP(A20,SEGMENT!A:A,SEGMENT!B:B)</f>
        <v>PICKUP-D</v>
      </c>
      <c r="D20" t="str">
        <f t="shared" si="0"/>
        <v>COLORADO LTZ MT</v>
      </c>
      <c r="E20" t="s">
        <v>41</v>
      </c>
      <c r="F20" t="s">
        <v>115</v>
      </c>
    </row>
    <row r="21" spans="1:8" x14ac:dyDescent="0.25">
      <c r="A21" t="s">
        <v>0</v>
      </c>
      <c r="B21" t="s">
        <v>51</v>
      </c>
      <c r="C21" t="str">
        <f>_xlfn.XLOOKUP(A21,SEGMENT!A:A,SEGMENT!B:B)</f>
        <v>PICKUP-D</v>
      </c>
      <c r="D21" t="str">
        <f t="shared" si="0"/>
        <v>COLORADO WT AT</v>
      </c>
      <c r="E21" t="s">
        <v>41</v>
      </c>
      <c r="F21" t="s">
        <v>116</v>
      </c>
    </row>
    <row r="22" spans="1:8" x14ac:dyDescent="0.25">
      <c r="A22" t="s">
        <v>0</v>
      </c>
      <c r="B22" t="s">
        <v>54</v>
      </c>
      <c r="C22" t="str">
        <f>_xlfn.XLOOKUP(A22,SEGMENT!A:A,SEGMENT!B:B)</f>
        <v>PICKUP-D</v>
      </c>
      <c r="D22" t="str">
        <f t="shared" si="0"/>
        <v>COLORADO Z71 AT</v>
      </c>
      <c r="E22" t="s">
        <v>41</v>
      </c>
      <c r="F22" t="s">
        <v>119</v>
      </c>
    </row>
    <row r="23" spans="1:8" x14ac:dyDescent="0.25">
      <c r="A23" t="s">
        <v>0</v>
      </c>
      <c r="B23" t="s">
        <v>286</v>
      </c>
      <c r="C23" t="str">
        <f>_xlfn.XLOOKUP(A23,SEGMENT!A:A,SEGMENT!B:B)</f>
        <v>PICKUP-D</v>
      </c>
      <c r="D23" t="str">
        <f t="shared" si="0"/>
        <v>COLORADO OBSOLETO</v>
      </c>
      <c r="E23" t="s">
        <v>41</v>
      </c>
      <c r="F23" t="s">
        <v>365</v>
      </c>
      <c r="G23" t="s">
        <v>114</v>
      </c>
      <c r="H23" t="s">
        <v>366</v>
      </c>
    </row>
    <row r="24" spans="1:8" x14ac:dyDescent="0.25">
      <c r="A24" t="s">
        <v>0</v>
      </c>
      <c r="B24" t="s">
        <v>286</v>
      </c>
      <c r="C24" t="str">
        <f>_xlfn.XLOOKUP(A24,SEGMENT!A:A,SEGMENT!B:B)</f>
        <v>PICKUP-D</v>
      </c>
      <c r="D24" t="str">
        <f t="shared" si="0"/>
        <v>COLORADO OBSOLETO</v>
      </c>
      <c r="E24" t="s">
        <v>41</v>
      </c>
      <c r="F24" t="s">
        <v>368</v>
      </c>
      <c r="G24" t="s">
        <v>367</v>
      </c>
      <c r="H24" t="s">
        <v>369</v>
      </c>
    </row>
    <row r="25" spans="1:8" x14ac:dyDescent="0.25">
      <c r="A25" t="s">
        <v>0</v>
      </c>
      <c r="B25" t="s">
        <v>286</v>
      </c>
      <c r="C25" t="str">
        <f>_xlfn.XLOOKUP(A25,SEGMENT!A:A,SEGMENT!B:B)</f>
        <v>PICKUP-D</v>
      </c>
      <c r="D25" t="str">
        <f t="shared" si="0"/>
        <v>COLORADO OBSOLETO</v>
      </c>
      <c r="E25" t="s">
        <v>41</v>
      </c>
      <c r="F25" t="s">
        <v>371</v>
      </c>
      <c r="G25" t="s">
        <v>370</v>
      </c>
      <c r="H25" t="s">
        <v>372</v>
      </c>
    </row>
    <row r="26" spans="1:8" x14ac:dyDescent="0.25">
      <c r="A26" t="s">
        <v>0</v>
      </c>
      <c r="B26" t="s">
        <v>286</v>
      </c>
      <c r="C26" t="str">
        <f>_xlfn.XLOOKUP(A26,SEGMENT!A:A,SEGMENT!B:B)</f>
        <v>PICKUP-D</v>
      </c>
      <c r="D26" t="str">
        <f t="shared" si="0"/>
        <v>COLORADO OBSOLETO</v>
      </c>
      <c r="E26" t="s">
        <v>41</v>
      </c>
      <c r="F26" t="s">
        <v>118</v>
      </c>
      <c r="G26" t="s">
        <v>117</v>
      </c>
    </row>
    <row r="27" spans="1:8" x14ac:dyDescent="0.25">
      <c r="A27" t="s">
        <v>324</v>
      </c>
      <c r="B27" t="s">
        <v>286</v>
      </c>
      <c r="C27" t="str">
        <f>_xlfn.XLOOKUP(A27,SEGMENT!A:A,SEGMENT!B:B)</f>
        <v>CAR-C</v>
      </c>
      <c r="D27" t="str">
        <f t="shared" si="0"/>
        <v>CRUZE OBSOLETO</v>
      </c>
      <c r="E27" t="s">
        <v>324</v>
      </c>
      <c r="F27" t="s">
        <v>325</v>
      </c>
      <c r="G27" t="s">
        <v>326</v>
      </c>
    </row>
    <row r="28" spans="1:8" x14ac:dyDescent="0.25">
      <c r="A28" t="s">
        <v>327</v>
      </c>
      <c r="B28" t="s">
        <v>286</v>
      </c>
      <c r="C28" t="str">
        <f>_xlfn.XLOOKUP(A28,SEGMENT!A:A,SEGMENT!B:B)</f>
        <v>CAR-C</v>
      </c>
      <c r="D28" t="str">
        <f t="shared" si="0"/>
        <v>CRUZE D2 OBSOLETO</v>
      </c>
      <c r="E28" t="s">
        <v>327</v>
      </c>
      <c r="F28" t="s">
        <v>328</v>
      </c>
    </row>
    <row r="29" spans="1:8" x14ac:dyDescent="0.25">
      <c r="A29" t="s">
        <v>21</v>
      </c>
      <c r="B29" t="s">
        <v>286</v>
      </c>
      <c r="C29" t="str">
        <f>_xlfn.XLOOKUP(A29,SEGMENT!A:A,SEGMENT!B:B)</f>
        <v>SUV-C</v>
      </c>
      <c r="D29" t="str">
        <f t="shared" si="0"/>
        <v>EQUINOX OBSOLETO</v>
      </c>
      <c r="E29" t="s">
        <v>21</v>
      </c>
      <c r="F29" t="s">
        <v>350</v>
      </c>
      <c r="G29" t="s">
        <v>351</v>
      </c>
      <c r="H29" t="s">
        <v>526</v>
      </c>
    </row>
    <row r="30" spans="1:8" x14ac:dyDescent="0.25">
      <c r="A30" t="s">
        <v>23</v>
      </c>
      <c r="B30" t="s">
        <v>33</v>
      </c>
      <c r="C30" t="str">
        <f>_xlfn.XLOOKUP(A30,SEGMENT!A:A,SEGMENT!B:B)</f>
        <v>SUV-C</v>
      </c>
      <c r="D30" t="str">
        <f t="shared" ref="D30:D55" si="1">_xlfn.CONCAT(A30," ",B30)</f>
        <v>EQUINOX EV LT AT</v>
      </c>
      <c r="E30" t="s">
        <v>21</v>
      </c>
      <c r="F30" t="s">
        <v>120</v>
      </c>
    </row>
    <row r="31" spans="1:8" x14ac:dyDescent="0.25">
      <c r="A31" t="s">
        <v>2</v>
      </c>
      <c r="B31" t="s">
        <v>27</v>
      </c>
      <c r="C31" t="str">
        <f>_xlfn.XLOOKUP(A31,SEGMENT!A:A,SEGMENT!B:B)</f>
        <v>SUV-B</v>
      </c>
      <c r="D31" t="str">
        <f t="shared" si="1"/>
        <v>GROOVE LT MT</v>
      </c>
      <c r="E31" t="s">
        <v>2</v>
      </c>
      <c r="F31" t="s">
        <v>121</v>
      </c>
    </row>
    <row r="32" spans="1:8" x14ac:dyDescent="0.25">
      <c r="A32" t="s">
        <v>2</v>
      </c>
      <c r="B32" t="s">
        <v>49</v>
      </c>
      <c r="C32" t="str">
        <f>_xlfn.XLOOKUP(A32,SEGMENT!A:A,SEGMENT!B:B)</f>
        <v>SUV-B</v>
      </c>
      <c r="D32" t="str">
        <f t="shared" si="1"/>
        <v>GROOVE PREMIER MT</v>
      </c>
      <c r="E32" t="s">
        <v>2</v>
      </c>
      <c r="F32" t="s">
        <v>122</v>
      </c>
    </row>
    <row r="33" spans="1:6" x14ac:dyDescent="0.25">
      <c r="A33" t="s">
        <v>2</v>
      </c>
      <c r="B33" t="s">
        <v>30</v>
      </c>
      <c r="C33" t="str">
        <f>_xlfn.XLOOKUP(A33,SEGMENT!A:A,SEGMENT!B:B)</f>
        <v>SUV-B</v>
      </c>
      <c r="D33" t="str">
        <f t="shared" si="1"/>
        <v>GROOVE RS MT</v>
      </c>
      <c r="E33" t="s">
        <v>2</v>
      </c>
      <c r="F33" t="s">
        <v>124</v>
      </c>
    </row>
    <row r="34" spans="1:6" x14ac:dyDescent="0.25">
      <c r="A34" t="s">
        <v>2</v>
      </c>
      <c r="B34" t="s">
        <v>31</v>
      </c>
      <c r="C34" t="str">
        <f>_xlfn.XLOOKUP(A34,SEGMENT!A:A,SEGMENT!B:B)</f>
        <v>SUV-B</v>
      </c>
      <c r="D34" t="str">
        <f t="shared" si="1"/>
        <v>GROOVE RS AT</v>
      </c>
      <c r="E34" t="s">
        <v>2</v>
      </c>
      <c r="F34" t="s">
        <v>125</v>
      </c>
    </row>
    <row r="35" spans="1:6" x14ac:dyDescent="0.25">
      <c r="A35" t="s">
        <v>2</v>
      </c>
      <c r="B35" t="s">
        <v>286</v>
      </c>
      <c r="C35" t="str">
        <f>_xlfn.XLOOKUP(A35,SEGMENT!A:A,SEGMENT!B:B)</f>
        <v>SUV-B</v>
      </c>
      <c r="D35" t="str">
        <f t="shared" si="1"/>
        <v>GROOVE OBSOLETO</v>
      </c>
      <c r="E35" t="s">
        <v>2</v>
      </c>
      <c r="F35" t="s">
        <v>123</v>
      </c>
    </row>
    <row r="36" spans="1:6" x14ac:dyDescent="0.25">
      <c r="A36" t="s">
        <v>42</v>
      </c>
      <c r="B36" t="s">
        <v>286</v>
      </c>
      <c r="C36" t="str">
        <f>_xlfn.XLOOKUP(A36,SEGMENT!A:A,SEGMENT!B:B)</f>
        <v>CAR-B</v>
      </c>
      <c r="D36" t="str">
        <f t="shared" si="1"/>
        <v>JOY OBSOLETO</v>
      </c>
      <c r="E36" t="s">
        <v>42</v>
      </c>
      <c r="F36" t="s">
        <v>126</v>
      </c>
    </row>
    <row r="37" spans="1:6" x14ac:dyDescent="0.25">
      <c r="A37" t="s">
        <v>281</v>
      </c>
      <c r="B37" t="s">
        <v>286</v>
      </c>
      <c r="C37" t="str">
        <f>_xlfn.XLOOKUP(A37,SEGMENT!A:A,SEGMENT!B:B)</f>
        <v>CAR-B</v>
      </c>
      <c r="D37" t="str">
        <f t="shared" si="1"/>
        <v>JOY NB OBSOLETO</v>
      </c>
      <c r="E37" t="s">
        <v>127</v>
      </c>
      <c r="F37" t="s">
        <v>128</v>
      </c>
    </row>
    <row r="38" spans="1:6" x14ac:dyDescent="0.25">
      <c r="A38" t="s">
        <v>205</v>
      </c>
      <c r="B38" t="s">
        <v>29</v>
      </c>
      <c r="C38" t="str">
        <f>_xlfn.XLOOKUP(A38,SEGMENT!A:A,SEGMENT!B:B)</f>
        <v>PICKUP-C</v>
      </c>
      <c r="D38" t="str">
        <f t="shared" si="1"/>
        <v>MONTANA PREMIER AT</v>
      </c>
      <c r="E38" t="s">
        <v>16</v>
      </c>
      <c r="F38" t="s">
        <v>131</v>
      </c>
    </row>
    <row r="39" spans="1:6" x14ac:dyDescent="0.25">
      <c r="A39" t="s">
        <v>205</v>
      </c>
      <c r="B39" t="s">
        <v>49</v>
      </c>
      <c r="C39" t="str">
        <f>_xlfn.XLOOKUP(A39,SEGMENT!A:A,SEGMENT!B:B)</f>
        <v>PICKUP-C</v>
      </c>
      <c r="D39" t="str">
        <f t="shared" si="1"/>
        <v>MONTANA PREMIER MT</v>
      </c>
      <c r="E39" t="s">
        <v>16</v>
      </c>
      <c r="F39" t="s">
        <v>132</v>
      </c>
    </row>
    <row r="40" spans="1:6" x14ac:dyDescent="0.25">
      <c r="A40" t="s">
        <v>205</v>
      </c>
      <c r="B40" t="s">
        <v>31</v>
      </c>
      <c r="C40" t="str">
        <f>_xlfn.XLOOKUP(A40,SEGMENT!A:A,SEGMENT!B:B)</f>
        <v>PICKUP-C</v>
      </c>
      <c r="D40" t="str">
        <f t="shared" si="1"/>
        <v>MONTANA RS AT</v>
      </c>
      <c r="E40" t="s">
        <v>16</v>
      </c>
      <c r="F40" t="s">
        <v>133</v>
      </c>
    </row>
    <row r="41" spans="1:6" x14ac:dyDescent="0.25">
      <c r="A41" t="s">
        <v>205</v>
      </c>
      <c r="B41" t="s">
        <v>286</v>
      </c>
      <c r="C41" t="str">
        <f>_xlfn.XLOOKUP(A41,SEGMENT!A:A,SEGMENT!B:B)</f>
        <v>PICKUP-C</v>
      </c>
      <c r="D41" t="str">
        <f t="shared" si="1"/>
        <v>MONTANA OBSOLETO</v>
      </c>
      <c r="E41" t="s">
        <v>16</v>
      </c>
      <c r="F41" t="s">
        <v>129</v>
      </c>
    </row>
    <row r="42" spans="1:6" x14ac:dyDescent="0.25">
      <c r="A42" t="s">
        <v>205</v>
      </c>
      <c r="B42" t="s">
        <v>286</v>
      </c>
      <c r="C42" t="str">
        <f>_xlfn.XLOOKUP(A42,SEGMENT!A:A,SEGMENT!B:B)</f>
        <v>PICKUP-C</v>
      </c>
      <c r="D42" t="str">
        <f t="shared" si="1"/>
        <v>MONTANA OBSOLETO</v>
      </c>
      <c r="E42" t="s">
        <v>16</v>
      </c>
      <c r="F42" t="s">
        <v>130</v>
      </c>
    </row>
    <row r="43" spans="1:6" x14ac:dyDescent="0.25">
      <c r="A43" t="s">
        <v>357</v>
      </c>
      <c r="B43" t="s">
        <v>286</v>
      </c>
      <c r="C43" t="str">
        <f>_xlfn.XLOOKUP(A43,SEGMENT!A:A,SEGMENT!B:B)</f>
        <v>VAN-B</v>
      </c>
      <c r="D43" t="str">
        <f t="shared" si="1"/>
        <v>N300 MAX OBSOLETO</v>
      </c>
      <c r="E43" t="s">
        <v>357</v>
      </c>
      <c r="F43" t="s">
        <v>358</v>
      </c>
    </row>
    <row r="44" spans="1:6" x14ac:dyDescent="0.25">
      <c r="A44" t="s">
        <v>357</v>
      </c>
      <c r="B44" t="s">
        <v>286</v>
      </c>
      <c r="C44" t="str">
        <f>_xlfn.XLOOKUP(A44,SEGMENT!A:A,SEGMENT!B:B)</f>
        <v>VAN-B</v>
      </c>
      <c r="D44" t="str">
        <f t="shared" si="1"/>
        <v>N300 MAX OBSOLETO</v>
      </c>
      <c r="E44" t="s">
        <v>357</v>
      </c>
      <c r="F44" t="s">
        <v>359</v>
      </c>
    </row>
    <row r="45" spans="1:6" x14ac:dyDescent="0.25">
      <c r="A45" t="s">
        <v>354</v>
      </c>
      <c r="B45" t="s">
        <v>286</v>
      </c>
      <c r="C45" t="str">
        <f>_xlfn.XLOOKUP(A45,SEGMENT!A:A,SEGMENT!B:B)</f>
        <v>VAN-B</v>
      </c>
      <c r="D45" t="str">
        <f t="shared" si="1"/>
        <v>N300 MOVE OBSOLETO</v>
      </c>
      <c r="E45" t="s">
        <v>354</v>
      </c>
      <c r="F45" t="s">
        <v>355</v>
      </c>
    </row>
    <row r="46" spans="1:6" x14ac:dyDescent="0.25">
      <c r="A46" t="s">
        <v>354</v>
      </c>
      <c r="B46" t="s">
        <v>286</v>
      </c>
      <c r="C46" t="str">
        <f>_xlfn.XLOOKUP(A46,SEGMENT!A:A,SEGMENT!B:B)</f>
        <v>VAN-B</v>
      </c>
      <c r="D46" t="str">
        <f t="shared" si="1"/>
        <v>N300 MOVE OBSOLETO</v>
      </c>
      <c r="E46" t="s">
        <v>354</v>
      </c>
      <c r="F46" t="s">
        <v>356</v>
      </c>
    </row>
    <row r="47" spans="1:6" x14ac:dyDescent="0.25">
      <c r="A47" t="s">
        <v>360</v>
      </c>
      <c r="B47" t="s">
        <v>286</v>
      </c>
      <c r="C47" t="str">
        <f>_xlfn.XLOOKUP(A47,SEGMENT!A:A,SEGMENT!B:B)</f>
        <v>VAN-B</v>
      </c>
      <c r="D47" t="str">
        <f t="shared" si="1"/>
        <v>N300 WORK OBSOLETO</v>
      </c>
      <c r="E47" t="s">
        <v>360</v>
      </c>
      <c r="F47" t="s">
        <v>361</v>
      </c>
    </row>
    <row r="48" spans="1:6" x14ac:dyDescent="0.25">
      <c r="A48" t="s">
        <v>89</v>
      </c>
      <c r="B48" t="s">
        <v>58</v>
      </c>
      <c r="C48" t="str">
        <f>_xlfn.XLOOKUP(A48,SEGMENT!A:A,SEGMENT!B:B)</f>
        <v>VAN-B</v>
      </c>
      <c r="D48" t="str">
        <f t="shared" si="1"/>
        <v>N400 CARGO CARGO</v>
      </c>
      <c r="E48" t="s">
        <v>89</v>
      </c>
      <c r="F48" t="s">
        <v>134</v>
      </c>
    </row>
    <row r="49" spans="1:6" x14ac:dyDescent="0.25">
      <c r="A49" t="s">
        <v>550</v>
      </c>
      <c r="B49" t="s">
        <v>59</v>
      </c>
      <c r="C49" t="str">
        <f>_xlfn.XLOOKUP(A49,SEGMENT!A:A,SEGMENT!B:B)</f>
        <v>VAN-B</v>
      </c>
      <c r="D49" t="str">
        <f t="shared" si="1"/>
        <v>N400 CARGO FULL CARGO FULL</v>
      </c>
      <c r="E49" t="s">
        <v>89</v>
      </c>
      <c r="F49" t="s">
        <v>135</v>
      </c>
    </row>
    <row r="50" spans="1:6" x14ac:dyDescent="0.25">
      <c r="A50" t="s">
        <v>551</v>
      </c>
      <c r="B50" t="s">
        <v>60</v>
      </c>
      <c r="C50" t="str">
        <f>_xlfn.XLOOKUP(A50,SEGMENT!A:A,SEGMENT!B:B)</f>
        <v>VAN-B</v>
      </c>
      <c r="D50" t="str">
        <f t="shared" si="1"/>
        <v>N400 PASS PASS</v>
      </c>
      <c r="E50" t="s">
        <v>35</v>
      </c>
      <c r="F50" t="s">
        <v>136</v>
      </c>
    </row>
    <row r="51" spans="1:6" x14ac:dyDescent="0.25">
      <c r="A51" t="s">
        <v>552</v>
      </c>
      <c r="B51" t="s">
        <v>61</v>
      </c>
      <c r="C51" t="str">
        <f>_xlfn.XLOOKUP(A51,SEGMENT!A:A,SEGMENT!B:B)</f>
        <v>VAN-B</v>
      </c>
      <c r="D51" t="str">
        <f t="shared" si="1"/>
        <v>N400 PASS FULL PASS FULL</v>
      </c>
      <c r="E51" t="s">
        <v>35</v>
      </c>
      <c r="F51" t="s">
        <v>137</v>
      </c>
    </row>
    <row r="52" spans="1:6" x14ac:dyDescent="0.25">
      <c r="A52" t="s">
        <v>36</v>
      </c>
      <c r="B52" t="s">
        <v>286</v>
      </c>
      <c r="C52" t="str">
        <f>_xlfn.XLOOKUP(A52,SEGMENT!A:A,SEGMENT!B:B)</f>
        <v>CAR-B</v>
      </c>
      <c r="D52" t="str">
        <f t="shared" si="1"/>
        <v>ONIX OBSOLETO</v>
      </c>
      <c r="E52" t="s">
        <v>7</v>
      </c>
      <c r="F52" t="s">
        <v>141</v>
      </c>
    </row>
    <row r="53" spans="1:6" x14ac:dyDescent="0.25">
      <c r="A53" t="s">
        <v>36</v>
      </c>
      <c r="B53" t="s">
        <v>28</v>
      </c>
      <c r="C53" t="str">
        <f>_xlfn.XLOOKUP(A53,SEGMENT!A:A,SEGMENT!B:B)</f>
        <v>CAR-B</v>
      </c>
      <c r="D53" t="str">
        <f t="shared" si="1"/>
        <v>ONIX LTZ MT</v>
      </c>
      <c r="E53" t="s">
        <v>7</v>
      </c>
      <c r="F53" t="s">
        <v>142</v>
      </c>
    </row>
    <row r="54" spans="1:6" x14ac:dyDescent="0.25">
      <c r="A54" t="s">
        <v>36</v>
      </c>
      <c r="B54" t="s">
        <v>29</v>
      </c>
      <c r="C54" t="str">
        <f>_xlfn.XLOOKUP(A54,SEGMENT!A:A,SEGMENT!B:B)</f>
        <v>CAR-B</v>
      </c>
      <c r="D54" t="str">
        <f t="shared" si="1"/>
        <v>ONIX PREMIER AT</v>
      </c>
      <c r="E54" t="s">
        <v>7</v>
      </c>
      <c r="F54" t="s">
        <v>143</v>
      </c>
    </row>
    <row r="55" spans="1:6" x14ac:dyDescent="0.25">
      <c r="A55" t="s">
        <v>36</v>
      </c>
      <c r="B55" t="s">
        <v>30</v>
      </c>
      <c r="C55" t="str">
        <f>_xlfn.XLOOKUP(A55,SEGMENT!A:A,SEGMENT!B:B)</f>
        <v>CAR-B</v>
      </c>
      <c r="D55" t="str">
        <f t="shared" si="1"/>
        <v>ONIX RS MT</v>
      </c>
      <c r="E55" t="s">
        <v>7</v>
      </c>
      <c r="F55" t="s">
        <v>144</v>
      </c>
    </row>
    <row r="56" spans="1:6" x14ac:dyDescent="0.25">
      <c r="A56" t="s">
        <v>36</v>
      </c>
      <c r="B56" t="s">
        <v>31</v>
      </c>
      <c r="C56" t="str">
        <f>_xlfn.XLOOKUP(A56,SEGMENT!A:A,SEGMENT!B:B)</f>
        <v>CAR-B</v>
      </c>
      <c r="D56" t="str">
        <f t="shared" ref="D56:D78" si="2">_xlfn.CONCAT(A56," ",B56)</f>
        <v>ONIX RS AT</v>
      </c>
      <c r="E56" t="s">
        <v>7</v>
      </c>
      <c r="F56" t="s">
        <v>145</v>
      </c>
    </row>
    <row r="57" spans="1:6" x14ac:dyDescent="0.25">
      <c r="A57" t="s">
        <v>36</v>
      </c>
      <c r="B57" t="s">
        <v>286</v>
      </c>
      <c r="C57" t="str">
        <f>_xlfn.XLOOKUP(A57,SEGMENT!A:A,SEGMENT!B:B)</f>
        <v>CAR-B</v>
      </c>
      <c r="D57" t="str">
        <f t="shared" si="2"/>
        <v>ONIX OBSOLETO</v>
      </c>
      <c r="E57" t="s">
        <v>36</v>
      </c>
      <c r="F57" t="s">
        <v>315</v>
      </c>
    </row>
    <row r="58" spans="1:6" x14ac:dyDescent="0.25">
      <c r="A58" t="s">
        <v>36</v>
      </c>
      <c r="B58" t="s">
        <v>286</v>
      </c>
      <c r="C58" t="str">
        <f>_xlfn.XLOOKUP(A58,SEGMENT!A:A,SEGMENT!B:B)</f>
        <v>CAR-B</v>
      </c>
      <c r="D58" t="str">
        <f t="shared" si="2"/>
        <v>ONIX OBSOLETO</v>
      </c>
      <c r="E58" t="s">
        <v>36</v>
      </c>
      <c r="F58" t="s">
        <v>316</v>
      </c>
    </row>
    <row r="59" spans="1:6" x14ac:dyDescent="0.25">
      <c r="A59" t="s">
        <v>36</v>
      </c>
      <c r="B59" t="s">
        <v>286</v>
      </c>
      <c r="C59" t="str">
        <f>_xlfn.XLOOKUP(A59,SEGMENT!A:A,SEGMENT!B:B)</f>
        <v>CAR-B</v>
      </c>
      <c r="D59" t="str">
        <f t="shared" si="2"/>
        <v>ONIX OBSOLETO</v>
      </c>
      <c r="E59" t="s">
        <v>36</v>
      </c>
      <c r="F59" t="s">
        <v>317</v>
      </c>
    </row>
    <row r="60" spans="1:6" x14ac:dyDescent="0.25">
      <c r="A60" t="s">
        <v>36</v>
      </c>
      <c r="B60" t="s">
        <v>286</v>
      </c>
      <c r="C60" t="str">
        <f>_xlfn.XLOOKUP(A60,SEGMENT!A:A,SEGMENT!B:B)</f>
        <v>CAR-B</v>
      </c>
      <c r="D60" t="str">
        <f t="shared" si="2"/>
        <v>ONIX OBSOLETO</v>
      </c>
      <c r="E60" t="s">
        <v>36</v>
      </c>
      <c r="F60" t="s">
        <v>318</v>
      </c>
    </row>
    <row r="61" spans="1:6" x14ac:dyDescent="0.25">
      <c r="A61" t="s">
        <v>497</v>
      </c>
      <c r="B61" t="s">
        <v>286</v>
      </c>
      <c r="C61" t="str">
        <f>_xlfn.XLOOKUP(A61,SEGMENT!A:A,SEGMENT!B:B)</f>
        <v>CAR-B</v>
      </c>
      <c r="D61" t="str">
        <f t="shared" si="2"/>
        <v>ONIX NB OBSOLETO</v>
      </c>
      <c r="E61" t="s">
        <v>146</v>
      </c>
      <c r="F61" t="s">
        <v>295</v>
      </c>
    </row>
    <row r="62" spans="1:6" x14ac:dyDescent="0.25">
      <c r="A62" t="s">
        <v>497</v>
      </c>
      <c r="B62" t="s">
        <v>286</v>
      </c>
      <c r="C62" t="str">
        <f>_xlfn.XLOOKUP(A62,SEGMENT!A:A,SEGMENT!B:B)</f>
        <v>CAR-B</v>
      </c>
      <c r="D62" t="str">
        <f t="shared" si="2"/>
        <v>ONIX NB OBSOLETO</v>
      </c>
      <c r="E62" t="s">
        <v>146</v>
      </c>
      <c r="F62" t="s">
        <v>319</v>
      </c>
    </row>
    <row r="63" spans="1:6" x14ac:dyDescent="0.25">
      <c r="A63" t="s">
        <v>497</v>
      </c>
      <c r="B63" t="s">
        <v>286</v>
      </c>
      <c r="C63" t="str">
        <f>_xlfn.XLOOKUP(A63,SEGMENT!A:A,SEGMENT!B:B)</f>
        <v>CAR-B</v>
      </c>
      <c r="D63" t="str">
        <f t="shared" si="2"/>
        <v>ONIX NB OBSOLETO</v>
      </c>
      <c r="E63" t="s">
        <v>146</v>
      </c>
      <c r="F63" t="s">
        <v>320</v>
      </c>
    </row>
    <row r="64" spans="1:6" x14ac:dyDescent="0.25">
      <c r="A64" t="s">
        <v>497</v>
      </c>
      <c r="B64" t="s">
        <v>286</v>
      </c>
      <c r="C64" t="str">
        <f>_xlfn.XLOOKUP(A64,SEGMENT!A:A,SEGMENT!B:B)</f>
        <v>CAR-B</v>
      </c>
      <c r="D64" t="str">
        <f t="shared" si="2"/>
        <v>ONIX NB OBSOLETO</v>
      </c>
      <c r="E64" t="s">
        <v>146</v>
      </c>
      <c r="F64" t="s">
        <v>321</v>
      </c>
    </row>
    <row r="65" spans="1:8" x14ac:dyDescent="0.25">
      <c r="A65" t="s">
        <v>497</v>
      </c>
      <c r="B65" t="s">
        <v>286</v>
      </c>
      <c r="C65" t="str">
        <f>_xlfn.XLOOKUP(A65,SEGMENT!A:A,SEGMENT!B:B)</f>
        <v>CAR-B</v>
      </c>
      <c r="D65" t="str">
        <f t="shared" si="2"/>
        <v>ONIX NB OBSOLETO</v>
      </c>
      <c r="E65" t="s">
        <v>146</v>
      </c>
      <c r="F65" t="s">
        <v>322</v>
      </c>
    </row>
    <row r="66" spans="1:8" x14ac:dyDescent="0.25">
      <c r="A66" t="s">
        <v>497</v>
      </c>
      <c r="B66" t="s">
        <v>286</v>
      </c>
      <c r="C66" t="str">
        <f>_xlfn.XLOOKUP(A66,SEGMENT!A:A,SEGMENT!B:B)</f>
        <v>CAR-B</v>
      </c>
      <c r="D66" t="str">
        <f t="shared" si="2"/>
        <v>ONIX NB OBSOLETO</v>
      </c>
      <c r="E66" t="s">
        <v>146</v>
      </c>
      <c r="F66" t="s">
        <v>323</v>
      </c>
    </row>
    <row r="67" spans="1:8" x14ac:dyDescent="0.25">
      <c r="A67" t="s">
        <v>497</v>
      </c>
      <c r="B67" t="s">
        <v>286</v>
      </c>
      <c r="C67" t="str">
        <f>_xlfn.XLOOKUP(A67,SEGMENT!A:A,SEGMENT!B:B)</f>
        <v>CAR-B</v>
      </c>
      <c r="D67" t="str">
        <f t="shared" si="2"/>
        <v>ONIX NB OBSOLETO</v>
      </c>
      <c r="E67" t="s">
        <v>146</v>
      </c>
      <c r="F67" t="s">
        <v>147</v>
      </c>
    </row>
    <row r="68" spans="1:8" x14ac:dyDescent="0.25">
      <c r="A68" t="s">
        <v>497</v>
      </c>
      <c r="B68" t="s">
        <v>286</v>
      </c>
      <c r="C68" t="str">
        <f>_xlfn.XLOOKUP(A68,SEGMENT!A:A,SEGMENT!B:B)</f>
        <v>CAR-B</v>
      </c>
      <c r="D68" t="str">
        <f t="shared" si="2"/>
        <v>ONIX NB OBSOLETO</v>
      </c>
      <c r="E68" t="s">
        <v>146</v>
      </c>
      <c r="F68" t="s">
        <v>149</v>
      </c>
    </row>
    <row r="69" spans="1:8" x14ac:dyDescent="0.25">
      <c r="A69" t="s">
        <v>497</v>
      </c>
      <c r="B69" t="s">
        <v>286</v>
      </c>
      <c r="C69" t="str">
        <f>_xlfn.XLOOKUP(A69,SEGMENT!A:A,SEGMENT!B:B)</f>
        <v>CAR-B</v>
      </c>
      <c r="D69" t="str">
        <f t="shared" si="2"/>
        <v>ONIX NB OBSOLETO</v>
      </c>
      <c r="E69" t="s">
        <v>146</v>
      </c>
      <c r="F69" t="s">
        <v>152</v>
      </c>
    </row>
    <row r="70" spans="1:8" x14ac:dyDescent="0.25">
      <c r="A70" t="s">
        <v>497</v>
      </c>
      <c r="B70" t="s">
        <v>27</v>
      </c>
      <c r="C70" t="str">
        <f>_xlfn.XLOOKUP(A70,SEGMENT!A:A,SEGMENT!B:B)</f>
        <v>CAR-B</v>
      </c>
      <c r="D70" t="str">
        <f t="shared" si="2"/>
        <v>ONIX NB LT MT</v>
      </c>
      <c r="E70" t="s">
        <v>146</v>
      </c>
      <c r="F70" t="s">
        <v>148</v>
      </c>
    </row>
    <row r="71" spans="1:8" x14ac:dyDescent="0.25">
      <c r="A71" t="s">
        <v>497</v>
      </c>
      <c r="B71" t="s">
        <v>28</v>
      </c>
      <c r="C71" t="str">
        <f>_xlfn.XLOOKUP(A71,SEGMENT!A:A,SEGMENT!B:B)</f>
        <v>CAR-B</v>
      </c>
      <c r="D71" t="str">
        <f t="shared" si="2"/>
        <v>ONIX NB LTZ MT</v>
      </c>
      <c r="E71" t="s">
        <v>146</v>
      </c>
      <c r="F71" t="s">
        <v>150</v>
      </c>
    </row>
    <row r="72" spans="1:8" x14ac:dyDescent="0.25">
      <c r="A72" t="s">
        <v>497</v>
      </c>
      <c r="B72" t="s">
        <v>29</v>
      </c>
      <c r="C72" t="str">
        <f>_xlfn.XLOOKUP(A72,SEGMENT!A:A,SEGMENT!B:B)</f>
        <v>CAR-B</v>
      </c>
      <c r="D72" t="str">
        <f t="shared" si="2"/>
        <v>ONIX NB PREMIER AT</v>
      </c>
      <c r="E72" t="s">
        <v>146</v>
      </c>
      <c r="F72" t="s">
        <v>151</v>
      </c>
    </row>
    <row r="73" spans="1:8" x14ac:dyDescent="0.25">
      <c r="A73" t="s">
        <v>338</v>
      </c>
      <c r="B73" t="s">
        <v>286</v>
      </c>
      <c r="C73" t="str">
        <f>_xlfn.XLOOKUP(A73,SEGMENT!A:A,SEGMENT!B:B)</f>
        <v>MPV-B</v>
      </c>
      <c r="D73" t="str">
        <f t="shared" si="2"/>
        <v>ORLANDO OBSOLETO</v>
      </c>
      <c r="E73" t="s">
        <v>338</v>
      </c>
      <c r="F73" t="s">
        <v>339</v>
      </c>
    </row>
    <row r="74" spans="1:8" x14ac:dyDescent="0.25">
      <c r="A74" t="s">
        <v>294</v>
      </c>
      <c r="B74" t="s">
        <v>286</v>
      </c>
      <c r="C74" t="str">
        <f>_xlfn.XLOOKUP(A74,SEGMENT!A:A,SEGMENT!B:B)</f>
        <v>CAR-B</v>
      </c>
      <c r="D74" t="str">
        <f t="shared" si="2"/>
        <v>PRISMA OBSOLETO</v>
      </c>
      <c r="E74" t="s">
        <v>294</v>
      </c>
      <c r="F74" t="s">
        <v>312</v>
      </c>
      <c r="G74" t="s">
        <v>313</v>
      </c>
      <c r="H74" t="s">
        <v>314</v>
      </c>
    </row>
    <row r="75" spans="1:8" x14ac:dyDescent="0.25">
      <c r="A75" s="6" t="s">
        <v>262</v>
      </c>
      <c r="B75" t="s">
        <v>27</v>
      </c>
      <c r="C75" t="str">
        <f>_xlfn.XLOOKUP(A75,SEGMENT!A:A,SEGMENT!B:B)</f>
        <v>CAR-B</v>
      </c>
      <c r="D75" t="str">
        <f t="shared" si="2"/>
        <v>SAIL NB LT MT</v>
      </c>
      <c r="E75" t="s">
        <v>157</v>
      </c>
      <c r="F75" t="s">
        <v>158</v>
      </c>
    </row>
    <row r="76" spans="1:8" x14ac:dyDescent="0.25">
      <c r="A76" s="6" t="s">
        <v>262</v>
      </c>
      <c r="B76" t="s">
        <v>286</v>
      </c>
      <c r="C76" t="str">
        <f>_xlfn.XLOOKUP(A76,SEGMENT!A:A,SEGMENT!B:B)</f>
        <v>CAR-B</v>
      </c>
      <c r="D76" t="str">
        <f t="shared" si="2"/>
        <v>SAIL NB OBSOLETO</v>
      </c>
      <c r="E76" t="s">
        <v>157</v>
      </c>
      <c r="F76" t="s">
        <v>159</v>
      </c>
    </row>
    <row r="77" spans="1:8" x14ac:dyDescent="0.25">
      <c r="A77" s="6" t="s">
        <v>262</v>
      </c>
      <c r="B77" t="s">
        <v>34</v>
      </c>
      <c r="C77" t="str">
        <f>_xlfn.XLOOKUP(A77,SEGMENT!A:A,SEGMENT!B:B)</f>
        <v>CAR-B</v>
      </c>
      <c r="D77" t="str">
        <f t="shared" si="2"/>
        <v>SAIL NB LTZ AT</v>
      </c>
      <c r="E77" t="s">
        <v>157</v>
      </c>
      <c r="F77" t="s">
        <v>160</v>
      </c>
    </row>
    <row r="78" spans="1:8" x14ac:dyDescent="0.25">
      <c r="A78" t="s">
        <v>262</v>
      </c>
      <c r="B78" t="s">
        <v>286</v>
      </c>
      <c r="C78" t="str">
        <f>_xlfn.XLOOKUP(A78,SEGMENT!A:A,SEGMENT!B:B)</f>
        <v>CAR-B</v>
      </c>
      <c r="D78" t="str">
        <f t="shared" si="2"/>
        <v>SAIL NB OBSOLETO</v>
      </c>
      <c r="E78" t="s">
        <v>292</v>
      </c>
      <c r="F78" t="s">
        <v>306</v>
      </c>
      <c r="G78" t="s">
        <v>307</v>
      </c>
      <c r="H78" t="s">
        <v>308</v>
      </c>
    </row>
    <row r="79" spans="1:8" x14ac:dyDescent="0.25">
      <c r="A79" t="s">
        <v>262</v>
      </c>
      <c r="B79" t="s">
        <v>286</v>
      </c>
      <c r="C79" t="str">
        <f>_xlfn.XLOOKUP(A79,SEGMENT!A:A,SEGMENT!B:B)</f>
        <v>CAR-B</v>
      </c>
      <c r="D79" t="str">
        <f>_xlfn.CONCAT(A79," ",B79)</f>
        <v>SAIL NB OBSOLETO</v>
      </c>
      <c r="E79" t="s">
        <v>293</v>
      </c>
      <c r="F79" t="s">
        <v>309</v>
      </c>
      <c r="G79" t="s">
        <v>310</v>
      </c>
      <c r="H79" t="s">
        <v>311</v>
      </c>
    </row>
    <row r="80" spans="1:8" x14ac:dyDescent="0.25">
      <c r="A80" t="s">
        <v>3</v>
      </c>
      <c r="B80" t="s">
        <v>54</v>
      </c>
      <c r="C80" t="str">
        <f>_xlfn.XLOOKUP(A80,SEGMENT!A:A,SEGMENT!B:B)</f>
        <v>PICKUP-E</v>
      </c>
      <c r="D80" t="str">
        <f t="shared" ref="D80:D103" si="3">_xlfn.CONCAT(A80," ",B80)</f>
        <v>SILVERADO Z71 AT</v>
      </c>
      <c r="E80" t="s">
        <v>3</v>
      </c>
      <c r="F80" t="s">
        <v>161</v>
      </c>
    </row>
    <row r="81" spans="1:8" x14ac:dyDescent="0.25">
      <c r="A81" t="s">
        <v>24</v>
      </c>
      <c r="B81" t="s">
        <v>64</v>
      </c>
      <c r="C81" t="str">
        <f>_xlfn.XLOOKUP(A81,SEGMENT!A:A,SEGMENT!B:B)</f>
        <v>SUV-B</v>
      </c>
      <c r="D81" t="str">
        <f t="shared" si="3"/>
        <v>SPARK EUV EUV</v>
      </c>
      <c r="E81" t="s">
        <v>173</v>
      </c>
      <c r="F81" t="s">
        <v>173</v>
      </c>
    </row>
    <row r="82" spans="1:8" x14ac:dyDescent="0.25">
      <c r="A82" t="s">
        <v>289</v>
      </c>
      <c r="B82" t="s">
        <v>286</v>
      </c>
      <c r="C82" t="str">
        <f>_xlfn.XLOOKUP(A82,SEGMENT!A:A,SEGMENT!B:B)</f>
        <v>CAR-A</v>
      </c>
      <c r="D82" t="str">
        <f t="shared" si="3"/>
        <v>SPARK GT OBSOLETO</v>
      </c>
      <c r="E82" t="s">
        <v>289</v>
      </c>
      <c r="F82" t="s">
        <v>296</v>
      </c>
      <c r="G82" t="s">
        <v>297</v>
      </c>
      <c r="H82" t="s">
        <v>298</v>
      </c>
    </row>
    <row r="83" spans="1:8" x14ac:dyDescent="0.25">
      <c r="A83" t="s">
        <v>289</v>
      </c>
      <c r="B83" t="s">
        <v>286</v>
      </c>
      <c r="C83" t="str">
        <f>_xlfn.XLOOKUP(A83,SEGMENT!A:A,SEGMENT!B:B)</f>
        <v>CAR-A</v>
      </c>
      <c r="D83" t="str">
        <f t="shared" si="3"/>
        <v>SPARK GT OBSOLETO</v>
      </c>
      <c r="E83" t="s">
        <v>289</v>
      </c>
      <c r="F83" t="s">
        <v>299</v>
      </c>
    </row>
    <row r="84" spans="1:8" x14ac:dyDescent="0.25">
      <c r="A84" t="s">
        <v>289</v>
      </c>
      <c r="B84" t="s">
        <v>286</v>
      </c>
      <c r="C84" t="str">
        <f>_xlfn.XLOOKUP(A84,SEGMENT!A:A,SEGMENT!B:B)</f>
        <v>CAR-A</v>
      </c>
      <c r="D84" t="str">
        <f t="shared" si="3"/>
        <v>SPARK GT OBSOLETO</v>
      </c>
      <c r="E84" t="s">
        <v>290</v>
      </c>
      <c r="F84" t="s">
        <v>300</v>
      </c>
      <c r="G84" t="s">
        <v>301</v>
      </c>
      <c r="H84" t="s">
        <v>302</v>
      </c>
    </row>
    <row r="85" spans="1:8" x14ac:dyDescent="0.25">
      <c r="A85" t="s">
        <v>12</v>
      </c>
      <c r="B85" t="s">
        <v>286</v>
      </c>
      <c r="C85" t="str">
        <f>_xlfn.XLOOKUP(A85,SEGMENT!A:A,SEGMENT!B:B)</f>
        <v>MPV-B</v>
      </c>
      <c r="D85" t="str">
        <f t="shared" si="3"/>
        <v>SPIN OBSOLETO</v>
      </c>
      <c r="E85" t="s">
        <v>12</v>
      </c>
      <c r="F85" t="s">
        <v>162</v>
      </c>
    </row>
    <row r="86" spans="1:8" x14ac:dyDescent="0.25">
      <c r="A86" t="s">
        <v>12</v>
      </c>
      <c r="B86" t="s">
        <v>286</v>
      </c>
      <c r="C86" t="str">
        <f>_xlfn.XLOOKUP(A86,SEGMENT!A:A,SEGMENT!B:B)</f>
        <v>MPV-B</v>
      </c>
      <c r="D86" t="str">
        <f t="shared" si="3"/>
        <v>SPIN OBSOLETO</v>
      </c>
      <c r="E86" t="s">
        <v>12</v>
      </c>
      <c r="F86" t="s">
        <v>163</v>
      </c>
    </row>
    <row r="87" spans="1:8" x14ac:dyDescent="0.25">
      <c r="A87" t="s">
        <v>12</v>
      </c>
      <c r="B87" t="s">
        <v>286</v>
      </c>
      <c r="C87" t="str">
        <f>_xlfn.XLOOKUP(A87,SEGMENT!A:A,SEGMENT!B:B)</f>
        <v>MPV-B</v>
      </c>
      <c r="D87" t="str">
        <f t="shared" si="3"/>
        <v>SPIN OBSOLETO</v>
      </c>
      <c r="E87" t="s">
        <v>12</v>
      </c>
      <c r="F87" t="s">
        <v>340</v>
      </c>
    </row>
    <row r="88" spans="1:8" x14ac:dyDescent="0.25">
      <c r="A88" t="s">
        <v>12</v>
      </c>
      <c r="B88" t="s">
        <v>286</v>
      </c>
      <c r="C88" t="str">
        <f>_xlfn.XLOOKUP(A88,SEGMENT!A:A,SEGMENT!B:B)</f>
        <v>MPV-B</v>
      </c>
      <c r="D88" t="str">
        <f t="shared" si="3"/>
        <v>SPIN OBSOLETO</v>
      </c>
      <c r="E88" t="s">
        <v>12</v>
      </c>
      <c r="F88" t="s">
        <v>341</v>
      </c>
    </row>
    <row r="89" spans="1:8" x14ac:dyDescent="0.25">
      <c r="A89" t="s">
        <v>4</v>
      </c>
      <c r="B89" t="s">
        <v>54</v>
      </c>
      <c r="C89" t="str">
        <f>_xlfn.XLOOKUP(A89,SEGMENT!A:A,SEGMENT!B:B)</f>
        <v>SUV-E</v>
      </c>
      <c r="D89" t="str">
        <f t="shared" si="3"/>
        <v>SUBURBAN Z71 AT</v>
      </c>
      <c r="E89" t="s">
        <v>4</v>
      </c>
      <c r="F89" t="s">
        <v>164</v>
      </c>
    </row>
    <row r="90" spans="1:8" x14ac:dyDescent="0.25">
      <c r="A90" t="s">
        <v>5</v>
      </c>
      <c r="B90" t="s">
        <v>54</v>
      </c>
      <c r="C90" t="str">
        <f>_xlfn.XLOOKUP(A90,SEGMENT!A:A,SEGMENT!B:B)</f>
        <v>SUV-E</v>
      </c>
      <c r="D90" t="str">
        <f t="shared" si="3"/>
        <v>TAHOE Z71 AT</v>
      </c>
      <c r="E90" t="s">
        <v>5</v>
      </c>
      <c r="F90" t="s">
        <v>165</v>
      </c>
    </row>
    <row r="91" spans="1:8" x14ac:dyDescent="0.25">
      <c r="A91" t="s">
        <v>20</v>
      </c>
      <c r="B91" t="s">
        <v>286</v>
      </c>
      <c r="C91" t="str">
        <f>_xlfn.XLOOKUP(A91,SEGMENT!A:A,SEGMENT!B:B)</f>
        <v>SUV-B</v>
      </c>
      <c r="D91" t="str">
        <f t="shared" si="3"/>
        <v>TRACKER OBSOLETO</v>
      </c>
      <c r="E91" t="s">
        <v>13</v>
      </c>
      <c r="F91" t="s">
        <v>167</v>
      </c>
    </row>
    <row r="92" spans="1:8" x14ac:dyDescent="0.25">
      <c r="A92" t="s">
        <v>20</v>
      </c>
      <c r="B92" t="s">
        <v>286</v>
      </c>
      <c r="C92" t="str">
        <f>_xlfn.XLOOKUP(A92,SEGMENT!A:A,SEGMENT!B:B)</f>
        <v>SUV-B</v>
      </c>
      <c r="D92" t="str">
        <f t="shared" si="3"/>
        <v>TRACKER OBSOLETO</v>
      </c>
      <c r="E92" t="s">
        <v>13</v>
      </c>
      <c r="F92" t="s">
        <v>166</v>
      </c>
    </row>
    <row r="93" spans="1:8" x14ac:dyDescent="0.25">
      <c r="A93" t="s">
        <v>20</v>
      </c>
      <c r="B93" t="s">
        <v>286</v>
      </c>
      <c r="C93" t="str">
        <f>_xlfn.XLOOKUP(A93,SEGMENT!A:A,SEGMENT!B:B)</f>
        <v>SUV-B</v>
      </c>
      <c r="D93" t="str">
        <f t="shared" si="3"/>
        <v>TRACKER OBSOLETO</v>
      </c>
      <c r="E93" t="s">
        <v>13</v>
      </c>
      <c r="F93" t="s">
        <v>170</v>
      </c>
    </row>
    <row r="94" spans="1:8" x14ac:dyDescent="0.25">
      <c r="A94" t="s">
        <v>20</v>
      </c>
      <c r="B94" t="s">
        <v>34</v>
      </c>
      <c r="C94" t="str">
        <f>_xlfn.XLOOKUP(A94,SEGMENT!A:A,SEGMENT!B:B)</f>
        <v>SUV-B</v>
      </c>
      <c r="D94" t="str">
        <f t="shared" si="3"/>
        <v>TRACKER LTZ AT</v>
      </c>
      <c r="E94" t="s">
        <v>13</v>
      </c>
      <c r="F94" t="s">
        <v>168</v>
      </c>
    </row>
    <row r="95" spans="1:8" x14ac:dyDescent="0.25">
      <c r="A95" t="s">
        <v>20</v>
      </c>
      <c r="B95" t="s">
        <v>28</v>
      </c>
      <c r="C95" t="str">
        <f>_xlfn.XLOOKUP(A95,SEGMENT!A:A,SEGMENT!B:B)</f>
        <v>SUV-B</v>
      </c>
      <c r="D95" t="str">
        <f t="shared" si="3"/>
        <v>TRACKER LTZ MT</v>
      </c>
      <c r="E95" t="s">
        <v>13</v>
      </c>
      <c r="F95" t="s">
        <v>169</v>
      </c>
    </row>
    <row r="96" spans="1:8" x14ac:dyDescent="0.25">
      <c r="A96" t="s">
        <v>20</v>
      </c>
      <c r="B96" t="s">
        <v>31</v>
      </c>
      <c r="C96" t="str">
        <f>_xlfn.XLOOKUP(A96,SEGMENT!A:A,SEGMENT!B:B)</f>
        <v>SUV-B</v>
      </c>
      <c r="D96" t="str">
        <f t="shared" si="3"/>
        <v>TRACKER RS AT</v>
      </c>
      <c r="E96" t="s">
        <v>13</v>
      </c>
      <c r="F96" t="s">
        <v>171</v>
      </c>
    </row>
    <row r="97" spans="1:7" x14ac:dyDescent="0.25">
      <c r="A97" t="s">
        <v>20</v>
      </c>
      <c r="B97" t="s">
        <v>286</v>
      </c>
      <c r="C97" t="str">
        <f>_xlfn.XLOOKUP(A97,SEGMENT!A:A,SEGMENT!B:B)</f>
        <v>SUV-B</v>
      </c>
      <c r="D97" t="str">
        <f t="shared" si="3"/>
        <v>TRACKER OBSOLETO</v>
      </c>
      <c r="E97" t="s">
        <v>20</v>
      </c>
      <c r="F97" t="s">
        <v>342</v>
      </c>
    </row>
    <row r="98" spans="1:7" x14ac:dyDescent="0.25">
      <c r="A98" t="s">
        <v>20</v>
      </c>
      <c r="B98" t="s">
        <v>286</v>
      </c>
      <c r="C98" t="str">
        <f>_xlfn.XLOOKUP(A98,SEGMENT!A:A,SEGMENT!B:B)</f>
        <v>SUV-B</v>
      </c>
      <c r="D98" t="str">
        <f t="shared" si="3"/>
        <v>TRACKER OBSOLETO</v>
      </c>
      <c r="E98" t="s">
        <v>20</v>
      </c>
      <c r="F98" t="s">
        <v>343</v>
      </c>
    </row>
    <row r="99" spans="1:7" x14ac:dyDescent="0.25">
      <c r="A99" t="s">
        <v>20</v>
      </c>
      <c r="B99" t="s">
        <v>286</v>
      </c>
      <c r="C99" t="str">
        <f>_xlfn.XLOOKUP(A99,SEGMENT!A:A,SEGMENT!B:B)</f>
        <v>SUV-B</v>
      </c>
      <c r="D99" t="str">
        <f t="shared" si="3"/>
        <v>TRACKER OBSOLETO</v>
      </c>
      <c r="E99" t="s">
        <v>20</v>
      </c>
      <c r="F99" t="s">
        <v>344</v>
      </c>
    </row>
    <row r="100" spans="1:7" x14ac:dyDescent="0.25">
      <c r="A100" t="s">
        <v>10</v>
      </c>
      <c r="B100" t="s">
        <v>286</v>
      </c>
      <c r="C100" t="str">
        <f>_xlfn.XLOOKUP(A100,SEGMENT!A:A,SEGMENT!B:B)</f>
        <v>SUV-D</v>
      </c>
      <c r="D100" t="str">
        <f t="shared" si="3"/>
        <v>TRAILBLAZER OBSOLETO</v>
      </c>
      <c r="E100" t="s">
        <v>10</v>
      </c>
      <c r="F100" t="s">
        <v>172</v>
      </c>
    </row>
    <row r="101" spans="1:7" x14ac:dyDescent="0.25">
      <c r="A101" t="s">
        <v>6</v>
      </c>
      <c r="B101" t="s">
        <v>33</v>
      </c>
      <c r="C101" t="str">
        <f>_xlfn.XLOOKUP(A101,SEGMENT!A:A,SEGMENT!B:B)</f>
        <v>SUV-D</v>
      </c>
      <c r="D101" t="str">
        <f t="shared" si="3"/>
        <v>TRAVERSE LT AT</v>
      </c>
      <c r="E101" t="s">
        <v>44</v>
      </c>
      <c r="F101" t="s">
        <v>138</v>
      </c>
    </row>
    <row r="102" spans="1:7" x14ac:dyDescent="0.25">
      <c r="A102" t="s">
        <v>6</v>
      </c>
      <c r="B102" t="s">
        <v>54</v>
      </c>
      <c r="C102" t="str">
        <f>_xlfn.XLOOKUP(A102,SEGMENT!A:A,SEGMENT!B:B)</f>
        <v>SUV-D</v>
      </c>
      <c r="D102" t="str">
        <f t="shared" si="3"/>
        <v>TRAVERSE Z71 AT</v>
      </c>
      <c r="E102" t="s">
        <v>44</v>
      </c>
      <c r="F102" t="s">
        <v>139</v>
      </c>
    </row>
    <row r="103" spans="1:7" x14ac:dyDescent="0.25">
      <c r="A103" t="s">
        <v>6</v>
      </c>
      <c r="B103" t="s">
        <v>31</v>
      </c>
      <c r="C103" t="str">
        <f>_xlfn.XLOOKUP(A103,SEGMENT!A:A,SEGMENT!B:B)</f>
        <v>SUV-D</v>
      </c>
      <c r="D103" t="str">
        <f t="shared" si="3"/>
        <v>TRAVERSE RS AT</v>
      </c>
      <c r="E103" t="s">
        <v>44</v>
      </c>
      <c r="F103" t="s">
        <v>140</v>
      </c>
    </row>
    <row r="104" spans="1:7" x14ac:dyDescent="0.25">
      <c r="A104" t="s">
        <v>6</v>
      </c>
      <c r="B104" t="s">
        <v>286</v>
      </c>
      <c r="C104" t="str">
        <f>_xlfn.XLOOKUP(A104,SEGMENT!A:A,SEGMENT!B:B)</f>
        <v>SUV-D</v>
      </c>
      <c r="D104" t="str">
        <f t="shared" ref="D104:D118" si="4">_xlfn.CONCAT(A104," ",B104)</f>
        <v>TRAVERSE OBSOLETO</v>
      </c>
      <c r="E104" t="s">
        <v>6</v>
      </c>
      <c r="F104" t="s">
        <v>352</v>
      </c>
      <c r="G104" t="s">
        <v>353</v>
      </c>
    </row>
    <row r="105" spans="1:7" x14ac:dyDescent="0.25">
      <c r="A105" t="s">
        <v>21</v>
      </c>
      <c r="B105" t="s">
        <v>286</v>
      </c>
      <c r="C105" t="str">
        <f>_xlfn.XLOOKUP(A105,SEGMENT!A:A,SEGMENT!B:B)</f>
        <v>SUV-C</v>
      </c>
      <c r="D105" t="str">
        <f t="shared" si="4"/>
        <v>EQUINOX OBSOLETO</v>
      </c>
      <c r="E105" t="s">
        <v>21</v>
      </c>
      <c r="F105" t="s">
        <v>545</v>
      </c>
    </row>
    <row r="106" spans="1:7" x14ac:dyDescent="0.25">
      <c r="A106" t="s">
        <v>0</v>
      </c>
      <c r="B106" t="s">
        <v>544</v>
      </c>
      <c r="C106" t="str">
        <f>_xlfn.XLOOKUP(A106,SEGMENT!A:A,SEGMENT!B:B)</f>
        <v>PICKUP-D</v>
      </c>
      <c r="D106" t="str">
        <f t="shared" si="4"/>
        <v>COLORADO TRAILBOSS 4X4 AT</v>
      </c>
      <c r="E106" t="s">
        <v>41</v>
      </c>
      <c r="F106" t="s">
        <v>543</v>
      </c>
    </row>
    <row r="107" spans="1:7" x14ac:dyDescent="0.25">
      <c r="A107" t="s">
        <v>0</v>
      </c>
      <c r="B107" t="s">
        <v>542</v>
      </c>
      <c r="C107" t="str">
        <f>_xlfn.XLOOKUP(A107,SEGMENT!A:A,SEGMENT!B:B)</f>
        <v>PICKUP-D</v>
      </c>
      <c r="D107" t="str">
        <f t="shared" si="4"/>
        <v>COLORADO WT 4X4 AT</v>
      </c>
      <c r="E107" t="s">
        <v>41</v>
      </c>
      <c r="F107" t="s">
        <v>541</v>
      </c>
    </row>
    <row r="108" spans="1:7" x14ac:dyDescent="0.25">
      <c r="A108" t="s">
        <v>0</v>
      </c>
      <c r="B108" t="s">
        <v>540</v>
      </c>
      <c r="C108" t="str">
        <f>_xlfn.XLOOKUP(A108,SEGMENT!A:A,SEGMENT!B:B)</f>
        <v>PICKUP-D</v>
      </c>
      <c r="D108" t="str">
        <f t="shared" si="4"/>
        <v>COLORADO WT 4X2 MT</v>
      </c>
      <c r="E108" t="s">
        <v>41</v>
      </c>
      <c r="F108" t="s">
        <v>539</v>
      </c>
    </row>
    <row r="109" spans="1:7" x14ac:dyDescent="0.25">
      <c r="A109" t="s">
        <v>0</v>
      </c>
      <c r="B109" t="s">
        <v>538</v>
      </c>
      <c r="C109" t="str">
        <f>_xlfn.XLOOKUP(A109,SEGMENT!A:A,SEGMENT!B:B)</f>
        <v>PICKUP-D</v>
      </c>
      <c r="D109" t="str">
        <f t="shared" si="4"/>
        <v>COLORADO ZR2 4X4 AT</v>
      </c>
      <c r="E109" t="s">
        <v>41</v>
      </c>
      <c r="F109" t="s">
        <v>537</v>
      </c>
    </row>
    <row r="110" spans="1:7" x14ac:dyDescent="0.25">
      <c r="A110" t="s">
        <v>433</v>
      </c>
      <c r="B110" t="s">
        <v>536</v>
      </c>
      <c r="C110" t="str">
        <f>_xlfn.XLOOKUP(A110,SEGMENT!A:A,SEGMENT!B:B)</f>
        <v>SUV-B</v>
      </c>
      <c r="D110" t="str">
        <f t="shared" si="4"/>
        <v>SONIC MHEV</v>
      </c>
      <c r="E110" t="s">
        <v>433</v>
      </c>
      <c r="F110" t="s">
        <v>527</v>
      </c>
    </row>
    <row r="111" spans="1:7" x14ac:dyDescent="0.25">
      <c r="A111" t="s">
        <v>2</v>
      </c>
      <c r="B111" t="s">
        <v>28</v>
      </c>
      <c r="C111" t="str">
        <f>_xlfn.XLOOKUP(A111,SEGMENT!A:A,SEGMENT!B:B)</f>
        <v>SUV-B</v>
      </c>
      <c r="D111" t="str">
        <f t="shared" si="4"/>
        <v>GROOVE LTZ MT</v>
      </c>
      <c r="E111" t="s">
        <v>2</v>
      </c>
      <c r="F111" t="s">
        <v>535</v>
      </c>
    </row>
    <row r="112" spans="1:7" x14ac:dyDescent="0.25">
      <c r="A112" t="s">
        <v>433</v>
      </c>
      <c r="B112" t="s">
        <v>530</v>
      </c>
      <c r="C112" t="str">
        <f>_xlfn.XLOOKUP(A112,SEGMENT!A:A,SEGMENT!B:B)</f>
        <v>SUV-B</v>
      </c>
      <c r="D112" t="str">
        <f t="shared" si="4"/>
        <v>SONIC PRIME AT</v>
      </c>
      <c r="E112" t="s">
        <v>433</v>
      </c>
      <c r="F112" t="s">
        <v>534</v>
      </c>
    </row>
    <row r="113" spans="1:6" x14ac:dyDescent="0.25">
      <c r="A113" t="s">
        <v>433</v>
      </c>
      <c r="B113" t="s">
        <v>31</v>
      </c>
      <c r="C113" t="str">
        <f>_xlfn.XLOOKUP(A113,SEGMENT!A:A,SEGMENT!B:B)</f>
        <v>SUV-B</v>
      </c>
      <c r="D113" t="str">
        <f t="shared" si="4"/>
        <v>SONIC RS AT</v>
      </c>
      <c r="E113" t="s">
        <v>433</v>
      </c>
      <c r="F113" t="s">
        <v>533</v>
      </c>
    </row>
    <row r="114" spans="1:6" x14ac:dyDescent="0.25">
      <c r="A114" t="s">
        <v>433</v>
      </c>
      <c r="B114" t="s">
        <v>33</v>
      </c>
      <c r="C114" t="str">
        <f>_xlfn.XLOOKUP(A114,SEGMENT!A:A,SEGMENT!B:B)</f>
        <v>SUV-B</v>
      </c>
      <c r="D114" t="str">
        <f t="shared" si="4"/>
        <v>SONIC LT AT</v>
      </c>
      <c r="E114" t="s">
        <v>433</v>
      </c>
      <c r="F114" t="s">
        <v>532</v>
      </c>
    </row>
    <row r="115" spans="1:6" x14ac:dyDescent="0.25">
      <c r="A115" t="s">
        <v>433</v>
      </c>
      <c r="B115" t="s">
        <v>273</v>
      </c>
      <c r="C115" t="str">
        <f>_xlfn.XLOOKUP(A115,SEGMENT!A:A,SEGMENT!B:B)</f>
        <v>SUV-B</v>
      </c>
      <c r="D115" t="str">
        <f t="shared" si="4"/>
        <v>SONIC ACTIV AT</v>
      </c>
      <c r="E115" t="s">
        <v>433</v>
      </c>
      <c r="F115" t="s">
        <v>531</v>
      </c>
    </row>
    <row r="116" spans="1:6" x14ac:dyDescent="0.25">
      <c r="A116" t="s">
        <v>527</v>
      </c>
      <c r="B116" t="s">
        <v>530</v>
      </c>
      <c r="C116" t="str">
        <f>_xlfn.XLOOKUP(A116,SEGMENT!A:A,SEGMENT!B:B)</f>
        <v>SUV-B</v>
      </c>
      <c r="D116" t="str">
        <f t="shared" si="4"/>
        <v>SONIC MHEV PRIME AT</v>
      </c>
      <c r="E116" t="s">
        <v>527</v>
      </c>
      <c r="F116" t="s">
        <v>529</v>
      </c>
    </row>
    <row r="117" spans="1:6" x14ac:dyDescent="0.25">
      <c r="A117" t="s">
        <v>527</v>
      </c>
      <c r="B117" t="s">
        <v>31</v>
      </c>
      <c r="C117" t="str">
        <f>_xlfn.XLOOKUP(A117,SEGMENT!A:A,SEGMENT!B:B)</f>
        <v>SUV-B</v>
      </c>
      <c r="D117" t="str">
        <f t="shared" si="4"/>
        <v>SONIC MHEV RS AT</v>
      </c>
      <c r="E117" t="s">
        <v>527</v>
      </c>
      <c r="F117" t="s">
        <v>528</v>
      </c>
    </row>
    <row r="118" spans="1:6" x14ac:dyDescent="0.25">
      <c r="A118" t="s">
        <v>46</v>
      </c>
      <c r="B118" t="s">
        <v>46</v>
      </c>
      <c r="C118" t="str">
        <f>_xlfn.XLOOKUP(A118,SEGMENT!A:A,SEGMENT!B:B)</f>
        <v>B&amp;T</v>
      </c>
      <c r="D118" t="str">
        <f t="shared" si="4"/>
        <v>GMICA GMICA</v>
      </c>
      <c r="E118" t="s">
        <v>553</v>
      </c>
    </row>
  </sheetData>
  <autoFilter ref="A1:H111" xr:uid="{8BBFC13E-CA39-4262-8366-1173898B55C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E816-F135-4169-8524-7E9B5A6A7C68}">
  <dimension ref="A1:H104"/>
  <sheetViews>
    <sheetView tabSelected="1" workbookViewId="0">
      <pane ySplit="1" topLeftCell="A79" activePane="bottomLeft" state="frozen"/>
      <selection pane="bottomLeft" activeCell="D85" sqref="D85"/>
    </sheetView>
  </sheetViews>
  <sheetFormatPr defaultRowHeight="15" x14ac:dyDescent="0.25"/>
  <cols>
    <col min="1" max="1" width="14.85546875" bestFit="1" customWidth="1"/>
    <col min="2" max="2" width="14.5703125" bestFit="1" customWidth="1"/>
    <col min="3" max="3" width="11.42578125" customWidth="1"/>
    <col min="4" max="4" width="25.140625" bestFit="1" customWidth="1"/>
    <col min="5" max="5" width="19.42578125" bestFit="1" customWidth="1"/>
    <col min="6" max="6" width="31.140625" bestFit="1" customWidth="1"/>
    <col min="7" max="7" width="26.85546875" bestFit="1" customWidth="1"/>
    <col min="8" max="8" width="22.85546875" bestFit="1" customWidth="1"/>
  </cols>
  <sheetData>
    <row r="1" spans="1:8" x14ac:dyDescent="0.25">
      <c r="A1" s="2" t="s">
        <v>102</v>
      </c>
      <c r="B1" s="2" t="s">
        <v>48</v>
      </c>
      <c r="C1" s="2" t="s">
        <v>435</v>
      </c>
      <c r="D1" s="2" t="s">
        <v>436</v>
      </c>
      <c r="E1" s="2" t="s">
        <v>103</v>
      </c>
      <c r="F1" s="2" t="s">
        <v>104</v>
      </c>
      <c r="G1" s="2" t="s">
        <v>107</v>
      </c>
      <c r="H1" s="2" t="s">
        <v>105</v>
      </c>
    </row>
    <row r="2" spans="1:8" x14ac:dyDescent="0.25">
      <c r="A2" t="s">
        <v>17</v>
      </c>
      <c r="B2" t="s">
        <v>31</v>
      </c>
      <c r="C2" t="str">
        <f>_xlfn.XLOOKUP(A2,SEGMENT!A:A,SEGMENT!B:B)</f>
        <v>SUV-D</v>
      </c>
      <c r="D2" t="str">
        <f t="shared" ref="D2:D24" si="0">_xlfn.CONCAT(A2," ",B2)</f>
        <v>BLAZER EV RS AT</v>
      </c>
      <c r="E2" t="s">
        <v>1</v>
      </c>
      <c r="F2" t="s">
        <v>176</v>
      </c>
    </row>
    <row r="3" spans="1:8" x14ac:dyDescent="0.25">
      <c r="A3" t="s">
        <v>40</v>
      </c>
      <c r="B3" t="s">
        <v>286</v>
      </c>
      <c r="C3" t="str">
        <f>_xlfn.XLOOKUP(A3,SEGMENT!A:A,SEGMENT!B:B)</f>
        <v>SUV-B</v>
      </c>
      <c r="D3" t="str">
        <f>_xlfn.CONCAT(A3," ",B3)</f>
        <v>BOLT EUV OBSOLETO</v>
      </c>
      <c r="E3" t="s">
        <v>14</v>
      </c>
      <c r="F3" t="s">
        <v>40</v>
      </c>
    </row>
    <row r="4" spans="1:8" x14ac:dyDescent="0.25">
      <c r="A4" t="s">
        <v>22</v>
      </c>
      <c r="B4" t="s">
        <v>27</v>
      </c>
      <c r="C4" t="str">
        <f>_xlfn.XLOOKUP(A4,SEGMENT!A:A,SEGMENT!B:B)</f>
        <v>SUV-C</v>
      </c>
      <c r="D4" t="str">
        <f t="shared" si="0"/>
        <v>CAPTIVA LT MT</v>
      </c>
      <c r="E4" t="s">
        <v>22</v>
      </c>
      <c r="F4" t="s">
        <v>177</v>
      </c>
    </row>
    <row r="5" spans="1:8" x14ac:dyDescent="0.25">
      <c r="A5" t="s">
        <v>22</v>
      </c>
      <c r="B5" t="s">
        <v>33</v>
      </c>
      <c r="C5" t="str">
        <f>_xlfn.XLOOKUP(A5,SEGMENT!A:A,SEGMENT!B:B)</f>
        <v>SUV-C</v>
      </c>
      <c r="D5" t="str">
        <f t="shared" si="0"/>
        <v>CAPTIVA LT AT</v>
      </c>
      <c r="E5" t="s">
        <v>22</v>
      </c>
      <c r="F5" t="s">
        <v>178</v>
      </c>
    </row>
    <row r="6" spans="1:8" x14ac:dyDescent="0.25">
      <c r="A6" t="s">
        <v>22</v>
      </c>
      <c r="B6" t="s">
        <v>29</v>
      </c>
      <c r="C6" t="str">
        <f>_xlfn.XLOOKUP(A6,SEGMENT!A:A,SEGMENT!B:B)</f>
        <v>SUV-C</v>
      </c>
      <c r="D6" t="str">
        <f t="shared" si="0"/>
        <v>CAPTIVA PREMIER AT</v>
      </c>
      <c r="E6" t="s">
        <v>22</v>
      </c>
      <c r="F6" t="s">
        <v>179</v>
      </c>
    </row>
    <row r="7" spans="1:8" x14ac:dyDescent="0.25">
      <c r="A7" t="s">
        <v>22</v>
      </c>
      <c r="B7" t="s">
        <v>49</v>
      </c>
      <c r="C7" t="str">
        <f>_xlfn.XLOOKUP(A7,SEGMENT!A:A,SEGMENT!B:B)</f>
        <v>SUV-C</v>
      </c>
      <c r="D7" t="str">
        <f t="shared" si="0"/>
        <v>CAPTIVA PREMIER MT</v>
      </c>
      <c r="E7" t="s">
        <v>22</v>
      </c>
      <c r="F7" t="s">
        <v>180</v>
      </c>
    </row>
    <row r="8" spans="1:8" x14ac:dyDescent="0.25">
      <c r="A8" t="s">
        <v>38</v>
      </c>
      <c r="B8" t="s">
        <v>64</v>
      </c>
      <c r="C8" t="str">
        <f>_xlfn.XLOOKUP(A8,SEGMENT!A:A,SEGMENT!B:B)</f>
        <v>SUV-C</v>
      </c>
      <c r="D8" t="str">
        <f t="shared" si="0"/>
        <v>CAPTIVA NEV EUV</v>
      </c>
      <c r="E8" t="s">
        <v>221</v>
      </c>
      <c r="F8" t="s">
        <v>222</v>
      </c>
    </row>
    <row r="9" spans="1:8" x14ac:dyDescent="0.25">
      <c r="A9" t="s">
        <v>38</v>
      </c>
      <c r="B9" t="s">
        <v>65</v>
      </c>
      <c r="C9" t="str">
        <f>_xlfn.XLOOKUP(A9,SEGMENT!A:A,SEGMENT!B:B)</f>
        <v>SUV-C</v>
      </c>
      <c r="D9" t="str">
        <f t="shared" si="0"/>
        <v>CAPTIVA NEV PHEV</v>
      </c>
      <c r="E9" t="s">
        <v>223</v>
      </c>
      <c r="F9" t="s">
        <v>224</v>
      </c>
    </row>
    <row r="10" spans="1:8" x14ac:dyDescent="0.25">
      <c r="A10" t="s">
        <v>38</v>
      </c>
      <c r="B10" t="s">
        <v>64</v>
      </c>
      <c r="C10" t="str">
        <f>_xlfn.XLOOKUP(A10,SEGMENT!A:A,SEGMENT!B:B)</f>
        <v>SUV-C</v>
      </c>
      <c r="D10" t="str">
        <f t="shared" si="0"/>
        <v>CAPTIVA NEV EUV</v>
      </c>
      <c r="E10" t="s">
        <v>222</v>
      </c>
      <c r="F10" t="s">
        <v>222</v>
      </c>
    </row>
    <row r="11" spans="1:8" x14ac:dyDescent="0.25">
      <c r="A11" t="s">
        <v>38</v>
      </c>
      <c r="B11" t="s">
        <v>65</v>
      </c>
      <c r="C11" t="str">
        <f>_xlfn.XLOOKUP(A11,SEGMENT!A:A,SEGMENT!B:B)</f>
        <v>SUV-C</v>
      </c>
      <c r="D11" t="str">
        <f t="shared" si="0"/>
        <v>CAPTIVA NEV PHEV</v>
      </c>
      <c r="E11" t="s">
        <v>25</v>
      </c>
      <c r="F11" t="s">
        <v>224</v>
      </c>
    </row>
    <row r="12" spans="1:8" x14ac:dyDescent="0.25">
      <c r="A12" t="s">
        <v>0</v>
      </c>
      <c r="B12" t="s">
        <v>286</v>
      </c>
      <c r="C12" t="str">
        <f>_xlfn.XLOOKUP(A12,SEGMENT!A:A,SEGMENT!B:B)</f>
        <v>PICKUP-D</v>
      </c>
      <c r="D12" t="str">
        <f t="shared" si="0"/>
        <v>COLORADO OBSOLETO</v>
      </c>
      <c r="E12" t="s">
        <v>0</v>
      </c>
      <c r="F12" t="s">
        <v>184</v>
      </c>
    </row>
    <row r="13" spans="1:8" x14ac:dyDescent="0.25">
      <c r="A13" t="s">
        <v>0</v>
      </c>
      <c r="B13" t="s">
        <v>50</v>
      </c>
      <c r="C13" t="str">
        <f>_xlfn.XLOOKUP(A13,SEGMENT!A:A,SEGMENT!B:B)</f>
        <v>PICKUP-D</v>
      </c>
      <c r="D13" t="str">
        <f t="shared" si="0"/>
        <v>COLORADO HC AT</v>
      </c>
      <c r="E13" t="s">
        <v>0</v>
      </c>
      <c r="F13" t="s">
        <v>181</v>
      </c>
    </row>
    <row r="14" spans="1:8" x14ac:dyDescent="0.25">
      <c r="A14" t="s">
        <v>0</v>
      </c>
      <c r="B14" t="s">
        <v>34</v>
      </c>
      <c r="C14" t="str">
        <f>_xlfn.XLOOKUP(A14,SEGMENT!A:A,SEGMENT!B:B)</f>
        <v>PICKUP-D</v>
      </c>
      <c r="D14" t="str">
        <f t="shared" si="0"/>
        <v>COLORADO LTZ AT</v>
      </c>
      <c r="E14" t="s">
        <v>0</v>
      </c>
      <c r="F14" t="s">
        <v>182</v>
      </c>
    </row>
    <row r="15" spans="1:8" x14ac:dyDescent="0.25">
      <c r="A15" t="s">
        <v>0</v>
      </c>
      <c r="B15" t="s">
        <v>51</v>
      </c>
      <c r="C15" t="str">
        <f>_xlfn.XLOOKUP(A15,SEGMENT!A:A,SEGMENT!B:B)</f>
        <v>PICKUP-D</v>
      </c>
      <c r="D15" t="str">
        <f t="shared" si="0"/>
        <v>COLORADO WT AT</v>
      </c>
      <c r="E15" t="s">
        <v>0</v>
      </c>
      <c r="F15" t="s">
        <v>183</v>
      </c>
    </row>
    <row r="16" spans="1:8" x14ac:dyDescent="0.25">
      <c r="A16" t="s">
        <v>0</v>
      </c>
      <c r="B16" t="s">
        <v>54</v>
      </c>
      <c r="C16" t="str">
        <f>_xlfn.XLOOKUP(A16,SEGMENT!A:A,SEGMENT!B:B)</f>
        <v>PICKUP-D</v>
      </c>
      <c r="D16" t="str">
        <f t="shared" si="0"/>
        <v>COLORADO Z71 AT</v>
      </c>
      <c r="E16" t="s">
        <v>0</v>
      </c>
      <c r="F16" t="s">
        <v>185</v>
      </c>
    </row>
    <row r="17" spans="1:8" x14ac:dyDescent="0.25">
      <c r="A17" t="s">
        <v>15</v>
      </c>
      <c r="B17" t="s">
        <v>191</v>
      </c>
      <c r="C17" t="str">
        <f>_xlfn.XLOOKUP(A17,SEGMENT!A:A,SEGMENT!B:B)</f>
        <v>PICKUP-D</v>
      </c>
      <c r="D17" t="str">
        <f t="shared" si="0"/>
        <v>D-MAX PREMIER MT 4X4</v>
      </c>
      <c r="E17" t="s">
        <v>15</v>
      </c>
      <c r="F17" t="s">
        <v>192</v>
      </c>
    </row>
    <row r="18" spans="1:8" x14ac:dyDescent="0.25">
      <c r="A18" t="s">
        <v>15</v>
      </c>
      <c r="B18" t="s">
        <v>55</v>
      </c>
      <c r="C18" t="str">
        <f>_xlfn.XLOOKUP(A18,SEGMENT!A:A,SEGMENT!B:B)</f>
        <v>PICKUP-D</v>
      </c>
      <c r="D18" t="str">
        <f t="shared" si="0"/>
        <v>D-MAX MT 4X2</v>
      </c>
      <c r="E18" t="s">
        <v>15</v>
      </c>
      <c r="F18" t="s">
        <v>193</v>
      </c>
    </row>
    <row r="19" spans="1:8" x14ac:dyDescent="0.25">
      <c r="A19" t="s">
        <v>15</v>
      </c>
      <c r="B19" t="s">
        <v>56</v>
      </c>
      <c r="C19" t="str">
        <f>_xlfn.XLOOKUP(A19,SEGMENT!A:A,SEGMENT!B:B)</f>
        <v>PICKUP-D</v>
      </c>
      <c r="D19" t="str">
        <f t="shared" si="0"/>
        <v>D-MAX MT 4X4</v>
      </c>
      <c r="E19" t="s">
        <v>15</v>
      </c>
      <c r="F19" t="s">
        <v>194</v>
      </c>
    </row>
    <row r="20" spans="1:8" x14ac:dyDescent="0.25">
      <c r="A20" t="s">
        <v>15</v>
      </c>
      <c r="B20" t="s">
        <v>286</v>
      </c>
      <c r="C20" t="str">
        <f>_xlfn.XLOOKUP(A20,SEGMENT!A:A,SEGMENT!B:B)</f>
        <v>PICKUP-D</v>
      </c>
      <c r="D20" t="str">
        <f t="shared" si="0"/>
        <v>D-MAX OBSOLETO</v>
      </c>
      <c r="E20" t="s">
        <v>15</v>
      </c>
      <c r="F20" t="s">
        <v>187</v>
      </c>
    </row>
    <row r="21" spans="1:8" x14ac:dyDescent="0.25">
      <c r="A21" t="s">
        <v>15</v>
      </c>
      <c r="B21" t="s">
        <v>286</v>
      </c>
      <c r="C21" t="str">
        <f>_xlfn.XLOOKUP(A21,SEGMENT!A:A,SEGMENT!B:B)</f>
        <v>PICKUP-D</v>
      </c>
      <c r="D21" t="str">
        <f t="shared" si="0"/>
        <v>D-MAX OBSOLETO</v>
      </c>
      <c r="E21" t="s">
        <v>15</v>
      </c>
      <c r="F21" t="s">
        <v>189</v>
      </c>
    </row>
    <row r="22" spans="1:8" x14ac:dyDescent="0.25">
      <c r="A22" t="s">
        <v>15</v>
      </c>
      <c r="B22" t="s">
        <v>286</v>
      </c>
      <c r="C22" t="str">
        <f>_xlfn.XLOOKUP(A22,SEGMENT!A:A,SEGMENT!B:B)</f>
        <v>PICKUP-D</v>
      </c>
      <c r="D22" t="str">
        <f t="shared" si="0"/>
        <v>D-MAX OBSOLETO</v>
      </c>
      <c r="E22" t="s">
        <v>15</v>
      </c>
      <c r="F22" t="s">
        <v>186</v>
      </c>
    </row>
    <row r="23" spans="1:8" x14ac:dyDescent="0.25">
      <c r="A23" t="s">
        <v>15</v>
      </c>
      <c r="B23" t="s">
        <v>286</v>
      </c>
      <c r="C23" t="str">
        <f>_xlfn.XLOOKUP(A23,SEGMENT!A:A,SEGMENT!B:B)</f>
        <v>PICKUP-D</v>
      </c>
      <c r="D23" t="str">
        <f t="shared" si="0"/>
        <v>D-MAX OBSOLETO</v>
      </c>
      <c r="E23" t="s">
        <v>15</v>
      </c>
      <c r="F23" t="s">
        <v>188</v>
      </c>
    </row>
    <row r="24" spans="1:8" x14ac:dyDescent="0.25">
      <c r="A24" t="s">
        <v>15</v>
      </c>
      <c r="B24" t="s">
        <v>286</v>
      </c>
      <c r="C24" t="str">
        <f>_xlfn.XLOOKUP(A24,SEGMENT!A:A,SEGMENT!B:B)</f>
        <v>PICKUP-D</v>
      </c>
      <c r="D24" t="str">
        <f t="shared" si="0"/>
        <v>D-MAX OBSOLETO</v>
      </c>
      <c r="E24" t="s">
        <v>15</v>
      </c>
      <c r="F24" t="s">
        <v>190</v>
      </c>
    </row>
    <row r="25" spans="1:8" x14ac:dyDescent="0.25">
      <c r="A25" t="s">
        <v>23</v>
      </c>
      <c r="B25" t="s">
        <v>33</v>
      </c>
      <c r="C25" t="str">
        <f>_xlfn.XLOOKUP(A25,SEGMENT!A:A,SEGMENT!B:B)</f>
        <v>SUV-C</v>
      </c>
      <c r="D25" t="str">
        <f t="shared" ref="D25:D42" si="1">_xlfn.CONCAT(A25," ",B25)</f>
        <v>EQUINOX EV LT AT</v>
      </c>
      <c r="E25" t="s">
        <v>195</v>
      </c>
      <c r="F25" t="s">
        <v>196</v>
      </c>
    </row>
    <row r="26" spans="1:8" x14ac:dyDescent="0.25">
      <c r="A26" t="s">
        <v>2</v>
      </c>
      <c r="B26" t="s">
        <v>28</v>
      </c>
      <c r="C26" t="str">
        <f>_xlfn.XLOOKUP(A26,SEGMENT!A:A,SEGMENT!B:B)</f>
        <v>SUV-B</v>
      </c>
      <c r="D26" t="str">
        <f t="shared" si="1"/>
        <v>GROOVE LTZ MT</v>
      </c>
      <c r="E26" t="s">
        <v>197</v>
      </c>
      <c r="F26" t="s">
        <v>198</v>
      </c>
    </row>
    <row r="27" spans="1:8" x14ac:dyDescent="0.25">
      <c r="A27" t="s">
        <v>2</v>
      </c>
      <c r="B27" t="s">
        <v>28</v>
      </c>
      <c r="C27" t="str">
        <f>_xlfn.XLOOKUP(A27,SEGMENT!A:A,SEGMENT!B:B)</f>
        <v>SUV-B</v>
      </c>
      <c r="D27" t="str">
        <f t="shared" si="1"/>
        <v>GROOVE LTZ MT</v>
      </c>
      <c r="E27" t="s">
        <v>2</v>
      </c>
      <c r="F27" t="s">
        <v>199</v>
      </c>
    </row>
    <row r="28" spans="1:8" x14ac:dyDescent="0.25">
      <c r="A28" t="s">
        <v>2</v>
      </c>
      <c r="B28" t="s">
        <v>49</v>
      </c>
      <c r="C28" t="str">
        <f>_xlfn.XLOOKUP(A28,SEGMENT!A:A,SEGMENT!B:B)</f>
        <v>SUV-B</v>
      </c>
      <c r="D28" t="str">
        <f t="shared" si="1"/>
        <v>GROOVE PREMIER MT</v>
      </c>
      <c r="E28" t="s">
        <v>2</v>
      </c>
      <c r="F28" t="s">
        <v>200</v>
      </c>
    </row>
    <row r="29" spans="1:8" x14ac:dyDescent="0.25">
      <c r="A29" t="s">
        <v>2</v>
      </c>
      <c r="B29" t="s">
        <v>49</v>
      </c>
      <c r="C29" t="str">
        <f>_xlfn.XLOOKUP(A29,SEGMENT!A:A,SEGMENT!B:B)</f>
        <v>SUV-B</v>
      </c>
      <c r="D29" t="str">
        <f t="shared" si="1"/>
        <v>GROOVE PREMIER MT</v>
      </c>
      <c r="E29" t="s">
        <v>197</v>
      </c>
      <c r="F29" t="s">
        <v>201</v>
      </c>
    </row>
    <row r="30" spans="1:8" x14ac:dyDescent="0.25">
      <c r="A30" t="s">
        <v>2</v>
      </c>
      <c r="B30" t="s">
        <v>30</v>
      </c>
      <c r="C30" t="str">
        <f>_xlfn.XLOOKUP(A30,SEGMENT!A:A,SEGMENT!B:B)</f>
        <v>SUV-B</v>
      </c>
      <c r="D30" t="str">
        <f t="shared" si="1"/>
        <v>GROOVE RS MT</v>
      </c>
      <c r="E30" t="s">
        <v>197</v>
      </c>
      <c r="F30" t="s">
        <v>202</v>
      </c>
    </row>
    <row r="31" spans="1:8" x14ac:dyDescent="0.25">
      <c r="A31" t="s">
        <v>42</v>
      </c>
      <c r="B31" t="s">
        <v>286</v>
      </c>
      <c r="C31" t="str">
        <f>_xlfn.XLOOKUP(A31,SEGMENT!A:A,SEGMENT!B:B)</f>
        <v>CAR-B</v>
      </c>
      <c r="D31" t="str">
        <f t="shared" si="1"/>
        <v>JOY OBSOLETO</v>
      </c>
      <c r="E31" t="s">
        <v>42</v>
      </c>
      <c r="F31" t="s">
        <v>279</v>
      </c>
      <c r="G31" t="s">
        <v>203</v>
      </c>
      <c r="H31" t="s">
        <v>283</v>
      </c>
    </row>
    <row r="32" spans="1:8" x14ac:dyDescent="0.25">
      <c r="A32" t="s">
        <v>281</v>
      </c>
      <c r="B32" t="s">
        <v>286</v>
      </c>
      <c r="C32" t="str">
        <f>_xlfn.XLOOKUP(A32,SEGMENT!A:A,SEGMENT!B:B)</f>
        <v>CAR-B</v>
      </c>
      <c r="D32" t="str">
        <f t="shared" si="1"/>
        <v>JOY NB OBSOLETO</v>
      </c>
      <c r="E32" t="s">
        <v>43</v>
      </c>
      <c r="F32" t="s">
        <v>204</v>
      </c>
    </row>
    <row r="33" spans="1:7" x14ac:dyDescent="0.25">
      <c r="A33" t="s">
        <v>281</v>
      </c>
      <c r="B33" t="s">
        <v>286</v>
      </c>
      <c r="C33" t="str">
        <f>_xlfn.XLOOKUP(A33,SEGMENT!A:A,SEGMENT!B:B)</f>
        <v>CAR-B</v>
      </c>
      <c r="D33" t="str">
        <f t="shared" si="1"/>
        <v>JOY NB OBSOLETO</v>
      </c>
      <c r="E33" t="s">
        <v>43</v>
      </c>
      <c r="F33" t="s">
        <v>281</v>
      </c>
    </row>
    <row r="34" spans="1:7" x14ac:dyDescent="0.25">
      <c r="A34" t="s">
        <v>205</v>
      </c>
      <c r="B34" t="s">
        <v>49</v>
      </c>
      <c r="C34" t="str">
        <f>_xlfn.XLOOKUP(A34,SEGMENT!A:A,SEGMENT!B:B)</f>
        <v>PICKUP-C</v>
      </c>
      <c r="D34" t="str">
        <f t="shared" si="1"/>
        <v>MONTANA PREMIER MT</v>
      </c>
      <c r="E34" t="s">
        <v>205</v>
      </c>
      <c r="F34" t="s">
        <v>206</v>
      </c>
    </row>
    <row r="35" spans="1:7" x14ac:dyDescent="0.25">
      <c r="A35" t="s">
        <v>205</v>
      </c>
      <c r="B35" t="s">
        <v>31</v>
      </c>
      <c r="C35" t="str">
        <f>_xlfn.XLOOKUP(A35,SEGMENT!A:A,SEGMENT!B:B)</f>
        <v>PICKUP-C</v>
      </c>
      <c r="D35" t="str">
        <f t="shared" si="1"/>
        <v>MONTANA RS AT</v>
      </c>
      <c r="E35" t="s">
        <v>205</v>
      </c>
      <c r="F35" t="s">
        <v>207</v>
      </c>
    </row>
    <row r="36" spans="1:7" x14ac:dyDescent="0.25">
      <c r="A36" t="s">
        <v>9</v>
      </c>
      <c r="B36" t="s">
        <v>59</v>
      </c>
      <c r="C36" t="str">
        <f>_xlfn.XLOOKUP(A36,SEGMENT!A:A,SEGMENT!B:B)</f>
        <v>VAN-B</v>
      </c>
      <c r="D36" t="str">
        <f t="shared" si="1"/>
        <v>N400 CARGO FULL</v>
      </c>
      <c r="E36" t="s">
        <v>9</v>
      </c>
      <c r="F36" t="s">
        <v>89</v>
      </c>
    </row>
    <row r="37" spans="1:7" x14ac:dyDescent="0.25">
      <c r="A37" t="s">
        <v>9</v>
      </c>
      <c r="B37" t="s">
        <v>61</v>
      </c>
      <c r="C37" t="str">
        <f>_xlfn.XLOOKUP(A37,SEGMENT!A:A,SEGMENT!B:B)</f>
        <v>VAN-B</v>
      </c>
      <c r="D37" t="str">
        <f t="shared" si="1"/>
        <v>N400 PASS FULL</v>
      </c>
      <c r="E37" t="s">
        <v>9</v>
      </c>
      <c r="F37" t="s">
        <v>208</v>
      </c>
    </row>
    <row r="38" spans="1:7" x14ac:dyDescent="0.25">
      <c r="A38" t="s">
        <v>36</v>
      </c>
      <c r="B38" t="s">
        <v>28</v>
      </c>
      <c r="C38" t="str">
        <f>_xlfn.XLOOKUP(A38,SEGMENT!A:A,SEGMENT!B:B)</f>
        <v>CAR-B</v>
      </c>
      <c r="D38" t="str">
        <f t="shared" si="1"/>
        <v>ONIX LTZ MT</v>
      </c>
      <c r="E38" t="s">
        <v>36</v>
      </c>
      <c r="F38" t="s">
        <v>316</v>
      </c>
    </row>
    <row r="39" spans="1:7" x14ac:dyDescent="0.25">
      <c r="A39" t="s">
        <v>36</v>
      </c>
      <c r="B39" t="s">
        <v>34</v>
      </c>
      <c r="C39" t="str">
        <f>_xlfn.XLOOKUP(A39,SEGMENT!A:A,SEGMENT!B:B)</f>
        <v>CAR-B</v>
      </c>
      <c r="D39" t="str">
        <f t="shared" si="1"/>
        <v>ONIX LTZ AT</v>
      </c>
      <c r="E39" t="s">
        <v>36</v>
      </c>
      <c r="F39" t="s">
        <v>317</v>
      </c>
    </row>
    <row r="40" spans="1:7" x14ac:dyDescent="0.25">
      <c r="A40" t="s">
        <v>36</v>
      </c>
      <c r="B40" t="s">
        <v>30</v>
      </c>
      <c r="C40" t="str">
        <f>_xlfn.XLOOKUP(A40,SEGMENT!A:A,SEGMENT!B:B)</f>
        <v>CAR-B</v>
      </c>
      <c r="D40" t="str">
        <f t="shared" si="1"/>
        <v>ONIX RS MT</v>
      </c>
      <c r="E40" t="s">
        <v>36</v>
      </c>
      <c r="F40" t="s">
        <v>210</v>
      </c>
    </row>
    <row r="41" spans="1:7" x14ac:dyDescent="0.25">
      <c r="A41" t="s">
        <v>36</v>
      </c>
      <c r="B41" t="s">
        <v>286</v>
      </c>
      <c r="C41" t="str">
        <f>_xlfn.XLOOKUP(A41,SEGMENT!A:A,SEGMENT!B:B)</f>
        <v>CAR-B</v>
      </c>
      <c r="D41" t="str">
        <f t="shared" si="1"/>
        <v>ONIX OBSOLETO</v>
      </c>
      <c r="E41" t="s">
        <v>36</v>
      </c>
      <c r="F41" t="s">
        <v>209</v>
      </c>
      <c r="G41" t="s">
        <v>315</v>
      </c>
    </row>
    <row r="42" spans="1:7" x14ac:dyDescent="0.25">
      <c r="A42" t="s">
        <v>36</v>
      </c>
      <c r="B42" t="s">
        <v>286</v>
      </c>
      <c r="C42" t="str">
        <f>_xlfn.XLOOKUP(A42,SEGMENT!A:A,SEGMENT!B:B)</f>
        <v>CAR-B</v>
      </c>
      <c r="D42" t="str">
        <f t="shared" si="1"/>
        <v>ONIX OBSOLETO</v>
      </c>
      <c r="E42" t="s">
        <v>36</v>
      </c>
      <c r="F42" t="s">
        <v>280</v>
      </c>
    </row>
    <row r="43" spans="1:7" x14ac:dyDescent="0.25">
      <c r="A43" t="s">
        <v>497</v>
      </c>
      <c r="B43" t="s">
        <v>28</v>
      </c>
      <c r="C43" t="str">
        <f>_xlfn.XLOOKUP(A43,SEGMENT!A:A,SEGMENT!B:B)</f>
        <v>CAR-B</v>
      </c>
      <c r="D43" t="str">
        <f t="shared" ref="D43:D60" si="2">_xlfn.CONCAT(A43," ",B43)</f>
        <v>ONIX NB LTZ MT</v>
      </c>
      <c r="E43" t="s">
        <v>37</v>
      </c>
      <c r="F43" t="s">
        <v>211</v>
      </c>
    </row>
    <row r="44" spans="1:7" x14ac:dyDescent="0.25">
      <c r="A44" t="s">
        <v>497</v>
      </c>
      <c r="B44" t="s">
        <v>29</v>
      </c>
      <c r="C44" t="str">
        <f>_xlfn.XLOOKUP(A44,SEGMENT!A:A,SEGMENT!B:B)</f>
        <v>CAR-B</v>
      </c>
      <c r="D44" t="str">
        <f t="shared" si="2"/>
        <v>ONIX NB PREMIER AT</v>
      </c>
      <c r="E44" t="s">
        <v>37</v>
      </c>
      <c r="F44" t="s">
        <v>212</v>
      </c>
    </row>
    <row r="45" spans="1:7" x14ac:dyDescent="0.25">
      <c r="A45" t="s">
        <v>287</v>
      </c>
      <c r="B45" t="s">
        <v>287</v>
      </c>
      <c r="C45" t="str">
        <f>_xlfn.XLOOKUP(A45,SEGMENT!A:A,SEGMENT!B:B)</f>
        <v>OTROS</v>
      </c>
      <c r="D45" t="str">
        <f t="shared" si="2"/>
        <v>OTHER OTHER</v>
      </c>
      <c r="E45" t="s">
        <v>288</v>
      </c>
      <c r="F45" t="s">
        <v>288</v>
      </c>
    </row>
    <row r="46" spans="1:7" x14ac:dyDescent="0.25">
      <c r="A46" t="s">
        <v>282</v>
      </c>
      <c r="B46" t="s">
        <v>286</v>
      </c>
      <c r="C46" t="str">
        <f>_xlfn.XLOOKUP(A46,SEGMENT!A:A,SEGMENT!B:B)</f>
        <v>CAR-B</v>
      </c>
      <c r="D46" t="str">
        <f t="shared" si="2"/>
        <v>SAIL OBSOLETO</v>
      </c>
      <c r="E46" t="s">
        <v>282</v>
      </c>
      <c r="F46" t="s">
        <v>284</v>
      </c>
      <c r="G46" t="s">
        <v>285</v>
      </c>
    </row>
    <row r="47" spans="1:7" x14ac:dyDescent="0.25">
      <c r="A47" t="s">
        <v>282</v>
      </c>
      <c r="B47" t="s">
        <v>408</v>
      </c>
      <c r="C47" t="str">
        <f>_xlfn.XLOOKUP(A47,SEGMENT!A:A,SEGMENT!B:B)</f>
        <v>CAR-B</v>
      </c>
      <c r="D47" t="str">
        <f t="shared" si="2"/>
        <v>SAIL PREMIER</v>
      </c>
      <c r="E47" t="s">
        <v>282</v>
      </c>
      <c r="F47" t="s">
        <v>549</v>
      </c>
    </row>
    <row r="48" spans="1:7" x14ac:dyDescent="0.25">
      <c r="A48" t="s">
        <v>262</v>
      </c>
      <c r="B48" t="s">
        <v>33</v>
      </c>
      <c r="C48" t="str">
        <f>_xlfn.XLOOKUP(A48,SEGMENT!A:A,SEGMENT!B:B)</f>
        <v>CAR-B</v>
      </c>
      <c r="D48" t="str">
        <f t="shared" si="2"/>
        <v>SAIL NB LT AT</v>
      </c>
      <c r="E48" t="s">
        <v>548</v>
      </c>
      <c r="F48" t="s">
        <v>548</v>
      </c>
    </row>
    <row r="49" spans="1:6" x14ac:dyDescent="0.25">
      <c r="A49" t="s">
        <v>3</v>
      </c>
      <c r="B49" t="s">
        <v>54</v>
      </c>
      <c r="C49" t="str">
        <f>_xlfn.XLOOKUP(A49,SEGMENT!A:A,SEGMENT!B:B)</f>
        <v>PICKUP-E</v>
      </c>
      <c r="D49" t="str">
        <f t="shared" si="2"/>
        <v>SILVERADO Z71 AT</v>
      </c>
      <c r="E49" t="s">
        <v>3</v>
      </c>
      <c r="F49" t="s">
        <v>3</v>
      </c>
    </row>
    <row r="50" spans="1:6" x14ac:dyDescent="0.25">
      <c r="A50" t="s">
        <v>24</v>
      </c>
      <c r="B50" t="s">
        <v>64</v>
      </c>
      <c r="C50" t="str">
        <f>_xlfn.XLOOKUP(A50,SEGMENT!A:A,SEGMENT!B:B)</f>
        <v>SUV-B</v>
      </c>
      <c r="D50" t="str">
        <f t="shared" si="2"/>
        <v>SPARK EUV EUV</v>
      </c>
      <c r="E50" t="s">
        <v>24</v>
      </c>
      <c r="F50" t="s">
        <v>24</v>
      </c>
    </row>
    <row r="51" spans="1:6" x14ac:dyDescent="0.25">
      <c r="A51" t="s">
        <v>4</v>
      </c>
      <c r="B51" t="s">
        <v>54</v>
      </c>
      <c r="C51" t="str">
        <f>_xlfn.XLOOKUP(A51,SEGMENT!A:A,SEGMENT!B:B)</f>
        <v>SUV-E</v>
      </c>
      <c r="D51" t="str">
        <f t="shared" si="2"/>
        <v>SUBURBAN Z71 AT</v>
      </c>
      <c r="E51" t="s">
        <v>4</v>
      </c>
      <c r="F51" t="s">
        <v>4</v>
      </c>
    </row>
    <row r="52" spans="1:6" x14ac:dyDescent="0.25">
      <c r="A52" t="s">
        <v>5</v>
      </c>
      <c r="B52" t="s">
        <v>54</v>
      </c>
      <c r="C52" t="str">
        <f>_xlfn.XLOOKUP(A52,SEGMENT!A:A,SEGMENT!B:B)</f>
        <v>SUV-E</v>
      </c>
      <c r="D52" t="str">
        <f t="shared" si="2"/>
        <v>TAHOE Z71 AT</v>
      </c>
      <c r="E52" t="s">
        <v>5</v>
      </c>
      <c r="F52" t="s">
        <v>213</v>
      </c>
    </row>
    <row r="53" spans="1:6" x14ac:dyDescent="0.25">
      <c r="A53" t="s">
        <v>20</v>
      </c>
      <c r="B53" t="s">
        <v>63</v>
      </c>
      <c r="C53" t="str">
        <f>_xlfn.XLOOKUP(A53,SEGMENT!A:A,SEGMENT!B:B)</f>
        <v>SUV-B</v>
      </c>
      <c r="D53" t="str">
        <f t="shared" si="2"/>
        <v>TRACKER LS AT</v>
      </c>
      <c r="E53" t="s">
        <v>20</v>
      </c>
      <c r="F53" t="s">
        <v>214</v>
      </c>
    </row>
    <row r="54" spans="1:6" x14ac:dyDescent="0.25">
      <c r="A54" t="s">
        <v>20</v>
      </c>
      <c r="B54" t="s">
        <v>32</v>
      </c>
      <c r="C54" t="str">
        <f>_xlfn.XLOOKUP(A54,SEGMENT!A:A,SEGMENT!B:B)</f>
        <v>SUV-B</v>
      </c>
      <c r="D54" t="str">
        <f t="shared" si="2"/>
        <v>TRACKER LS MT</v>
      </c>
      <c r="E54" t="s">
        <v>20</v>
      </c>
      <c r="F54" t="s">
        <v>215</v>
      </c>
    </row>
    <row r="55" spans="1:6" x14ac:dyDescent="0.25">
      <c r="A55" t="s">
        <v>20</v>
      </c>
      <c r="B55" t="s">
        <v>34</v>
      </c>
      <c r="C55" t="str">
        <f>_xlfn.XLOOKUP(A55,SEGMENT!A:A,SEGMENT!B:B)</f>
        <v>SUV-B</v>
      </c>
      <c r="D55" t="str">
        <f t="shared" si="2"/>
        <v>TRACKER LTZ AT</v>
      </c>
      <c r="E55" t="s">
        <v>20</v>
      </c>
      <c r="F55" t="s">
        <v>216</v>
      </c>
    </row>
    <row r="56" spans="1:6" x14ac:dyDescent="0.25">
      <c r="A56" t="s">
        <v>20</v>
      </c>
      <c r="B56" t="s">
        <v>28</v>
      </c>
      <c r="C56" t="str">
        <f>_xlfn.XLOOKUP(A56,SEGMENT!A:A,SEGMENT!B:B)</f>
        <v>SUV-B</v>
      </c>
      <c r="D56" t="str">
        <f t="shared" si="2"/>
        <v>TRACKER LTZ MT</v>
      </c>
      <c r="E56" t="s">
        <v>20</v>
      </c>
      <c r="F56" t="s">
        <v>217</v>
      </c>
    </row>
    <row r="57" spans="1:6" x14ac:dyDescent="0.25">
      <c r="A57" t="s">
        <v>20</v>
      </c>
      <c r="B57" t="s">
        <v>29</v>
      </c>
      <c r="C57" t="str">
        <f>_xlfn.XLOOKUP(A57,SEGMENT!A:A,SEGMENT!B:B)</f>
        <v>SUV-B</v>
      </c>
      <c r="D57" t="str">
        <f t="shared" si="2"/>
        <v>TRACKER PREMIER AT</v>
      </c>
      <c r="E57" t="s">
        <v>20</v>
      </c>
      <c r="F57" t="s">
        <v>218</v>
      </c>
    </row>
    <row r="58" spans="1:6" x14ac:dyDescent="0.25">
      <c r="A58" t="s">
        <v>20</v>
      </c>
      <c r="B58" t="s">
        <v>31</v>
      </c>
      <c r="C58" t="str">
        <f>_xlfn.XLOOKUP(A58,SEGMENT!A:A,SEGMENT!B:B)</f>
        <v>SUV-B</v>
      </c>
      <c r="D58" t="str">
        <f t="shared" si="2"/>
        <v>TRACKER RS AT</v>
      </c>
      <c r="E58" t="s">
        <v>20</v>
      </c>
      <c r="F58" t="s">
        <v>219</v>
      </c>
    </row>
    <row r="59" spans="1:6" x14ac:dyDescent="0.25">
      <c r="A59" t="s">
        <v>10</v>
      </c>
      <c r="B59" t="s">
        <v>34</v>
      </c>
      <c r="C59" t="str">
        <f>_xlfn.XLOOKUP(A59,SEGMENT!A:A,SEGMENT!B:B)</f>
        <v>SUV-D</v>
      </c>
      <c r="D59" t="str">
        <f t="shared" si="2"/>
        <v>TRAILBLAZER LTZ AT</v>
      </c>
      <c r="E59" t="s">
        <v>10</v>
      </c>
      <c r="F59" t="s">
        <v>220</v>
      </c>
    </row>
    <row r="60" spans="1:6" x14ac:dyDescent="0.25">
      <c r="A60" t="s">
        <v>46</v>
      </c>
      <c r="B60" t="s">
        <v>46</v>
      </c>
      <c r="C60" t="str">
        <f>_xlfn.XLOOKUP(A60,SEGMENT!A:A,SEGMENT!B:B)</f>
        <v>B&amp;T</v>
      </c>
      <c r="D60" t="str">
        <f t="shared" ref="D60:D104" si="3">_xlfn.CONCAT(A60," ",B60)</f>
        <v>GMICA GMICA</v>
      </c>
      <c r="E60" t="s">
        <v>556</v>
      </c>
      <c r="F60" t="s">
        <v>599</v>
      </c>
    </row>
    <row r="61" spans="1:6" x14ac:dyDescent="0.25">
      <c r="A61" t="s">
        <v>46</v>
      </c>
      <c r="B61" t="s">
        <v>46</v>
      </c>
      <c r="C61" t="str">
        <f>_xlfn.XLOOKUP(A61,SEGMENT!A:A,SEGMENT!B:B)</f>
        <v>B&amp;T</v>
      </c>
      <c r="D61" t="str">
        <f t="shared" si="3"/>
        <v>GMICA GMICA</v>
      </c>
      <c r="E61" t="s">
        <v>555</v>
      </c>
      <c r="F61" t="s">
        <v>583</v>
      </c>
    </row>
    <row r="62" spans="1:6" x14ac:dyDescent="0.25">
      <c r="A62" t="s">
        <v>46</v>
      </c>
      <c r="B62" t="s">
        <v>46</v>
      </c>
      <c r="C62" t="str">
        <f>_xlfn.XLOOKUP(A62,SEGMENT!A:A,SEGMENT!B:B)</f>
        <v>B&amp;T</v>
      </c>
      <c r="D62" t="str">
        <f t="shared" si="3"/>
        <v>GMICA GMICA</v>
      </c>
      <c r="E62" t="s">
        <v>555</v>
      </c>
      <c r="F62" t="s">
        <v>585</v>
      </c>
    </row>
    <row r="63" spans="1:6" x14ac:dyDescent="0.25">
      <c r="A63" t="s">
        <v>46</v>
      </c>
      <c r="B63" t="s">
        <v>46</v>
      </c>
      <c r="C63" t="str">
        <f>_xlfn.XLOOKUP(A63,SEGMENT!A:A,SEGMENT!B:B)</f>
        <v>B&amp;T</v>
      </c>
      <c r="D63" t="str">
        <f t="shared" si="3"/>
        <v>GMICA GMICA</v>
      </c>
      <c r="E63" t="s">
        <v>555</v>
      </c>
      <c r="F63" t="s">
        <v>586</v>
      </c>
    </row>
    <row r="64" spans="1:6" x14ac:dyDescent="0.25">
      <c r="A64" t="s">
        <v>46</v>
      </c>
      <c r="B64" t="s">
        <v>46</v>
      </c>
      <c r="C64" t="str">
        <f>_xlfn.XLOOKUP(A64,SEGMENT!A:A,SEGMENT!B:B)</f>
        <v>B&amp;T</v>
      </c>
      <c r="D64" t="str">
        <f t="shared" si="3"/>
        <v>GMICA GMICA</v>
      </c>
      <c r="E64" t="s">
        <v>555</v>
      </c>
      <c r="F64" t="s">
        <v>584</v>
      </c>
    </row>
    <row r="65" spans="1:6" x14ac:dyDescent="0.25">
      <c r="A65" t="s">
        <v>46</v>
      </c>
      <c r="B65" t="s">
        <v>46</v>
      </c>
      <c r="C65" t="str">
        <f>_xlfn.XLOOKUP(A65,SEGMENT!A:A,SEGMENT!B:B)</f>
        <v>B&amp;T</v>
      </c>
      <c r="D65" t="str">
        <f t="shared" si="3"/>
        <v>GMICA GMICA</v>
      </c>
      <c r="E65" t="s">
        <v>555</v>
      </c>
      <c r="F65" t="s">
        <v>587</v>
      </c>
    </row>
    <row r="66" spans="1:6" x14ac:dyDescent="0.25">
      <c r="A66" t="s">
        <v>46</v>
      </c>
      <c r="B66" t="s">
        <v>46</v>
      </c>
      <c r="C66" t="str">
        <f>_xlfn.XLOOKUP(A66,SEGMENT!A:A,SEGMENT!B:B)</f>
        <v>B&amp;T</v>
      </c>
      <c r="D66" t="str">
        <f t="shared" si="3"/>
        <v>GMICA GMICA</v>
      </c>
      <c r="E66" t="s">
        <v>555</v>
      </c>
      <c r="F66" t="s">
        <v>588</v>
      </c>
    </row>
    <row r="67" spans="1:6" x14ac:dyDescent="0.25">
      <c r="A67" t="s">
        <v>46</v>
      </c>
      <c r="B67" t="s">
        <v>46</v>
      </c>
      <c r="C67" t="str">
        <f>_xlfn.XLOOKUP(A67,SEGMENT!A:A,SEGMENT!B:B)</f>
        <v>B&amp;T</v>
      </c>
      <c r="D67" t="str">
        <f t="shared" si="3"/>
        <v>GMICA GMICA</v>
      </c>
      <c r="E67" t="s">
        <v>555</v>
      </c>
      <c r="F67" t="s">
        <v>589</v>
      </c>
    </row>
    <row r="68" spans="1:6" x14ac:dyDescent="0.25">
      <c r="A68" t="s">
        <v>46</v>
      </c>
      <c r="B68" t="s">
        <v>46</v>
      </c>
      <c r="C68" t="str">
        <f>_xlfn.XLOOKUP(A68,SEGMENT!A:A,SEGMENT!B:B)</f>
        <v>B&amp;T</v>
      </c>
      <c r="D68" t="str">
        <f t="shared" si="3"/>
        <v>GMICA GMICA</v>
      </c>
      <c r="E68" t="s">
        <v>555</v>
      </c>
      <c r="F68" t="s">
        <v>590</v>
      </c>
    </row>
    <row r="69" spans="1:6" x14ac:dyDescent="0.25">
      <c r="A69" t="s">
        <v>46</v>
      </c>
      <c r="B69" t="s">
        <v>46</v>
      </c>
      <c r="C69" t="str">
        <f>_xlfn.XLOOKUP(A69,SEGMENT!A:A,SEGMENT!B:B)</f>
        <v>B&amp;T</v>
      </c>
      <c r="D69" t="str">
        <f t="shared" si="3"/>
        <v>GMICA GMICA</v>
      </c>
      <c r="E69" t="s">
        <v>555</v>
      </c>
      <c r="F69" t="s">
        <v>591</v>
      </c>
    </row>
    <row r="70" spans="1:6" x14ac:dyDescent="0.25">
      <c r="A70" t="s">
        <v>46</v>
      </c>
      <c r="B70" t="s">
        <v>46</v>
      </c>
      <c r="C70" t="str">
        <f>_xlfn.XLOOKUP(A70,SEGMENT!A:A,SEGMENT!B:B)</f>
        <v>B&amp;T</v>
      </c>
      <c r="D70" t="str">
        <f t="shared" si="3"/>
        <v>GMICA GMICA</v>
      </c>
      <c r="E70" t="s">
        <v>555</v>
      </c>
      <c r="F70" t="s">
        <v>592</v>
      </c>
    </row>
    <row r="71" spans="1:6" x14ac:dyDescent="0.25">
      <c r="A71" t="s">
        <v>46</v>
      </c>
      <c r="B71" t="s">
        <v>46</v>
      </c>
      <c r="C71" t="str">
        <f>_xlfn.XLOOKUP(A71,SEGMENT!A:A,SEGMENT!B:B)</f>
        <v>B&amp;T</v>
      </c>
      <c r="D71" t="str">
        <f t="shared" si="3"/>
        <v>GMICA GMICA</v>
      </c>
      <c r="E71" t="s">
        <v>555</v>
      </c>
      <c r="F71" t="s">
        <v>593</v>
      </c>
    </row>
    <row r="72" spans="1:6" x14ac:dyDescent="0.25">
      <c r="A72" t="s">
        <v>46</v>
      </c>
      <c r="B72" t="s">
        <v>46</v>
      </c>
      <c r="C72" t="str">
        <f>_xlfn.XLOOKUP(A72,SEGMENT!A:A,SEGMENT!B:B)</f>
        <v>B&amp;T</v>
      </c>
      <c r="D72" t="str">
        <f t="shared" si="3"/>
        <v>GMICA GMICA</v>
      </c>
      <c r="E72" t="s">
        <v>555</v>
      </c>
      <c r="F72" t="s">
        <v>594</v>
      </c>
    </row>
    <row r="73" spans="1:6" x14ac:dyDescent="0.25">
      <c r="A73" t="s">
        <v>46</v>
      </c>
      <c r="B73" t="s">
        <v>46</v>
      </c>
      <c r="C73" t="str">
        <f>_xlfn.XLOOKUP(A73,SEGMENT!A:A,SEGMENT!B:B)</f>
        <v>B&amp;T</v>
      </c>
      <c r="D73" t="str">
        <f t="shared" si="3"/>
        <v>GMICA GMICA</v>
      </c>
      <c r="E73" t="s">
        <v>555</v>
      </c>
      <c r="F73" t="s">
        <v>595</v>
      </c>
    </row>
    <row r="74" spans="1:6" x14ac:dyDescent="0.25">
      <c r="A74" t="s">
        <v>46</v>
      </c>
      <c r="B74" t="s">
        <v>46</v>
      </c>
      <c r="C74" t="str">
        <f>_xlfn.XLOOKUP(A74,SEGMENT!A:A,SEGMENT!B:B)</f>
        <v>B&amp;T</v>
      </c>
      <c r="D74" t="str">
        <f t="shared" si="3"/>
        <v>GMICA GMICA</v>
      </c>
      <c r="E74" t="s">
        <v>555</v>
      </c>
      <c r="F74" t="s">
        <v>596</v>
      </c>
    </row>
    <row r="75" spans="1:6" x14ac:dyDescent="0.25">
      <c r="A75" t="s">
        <v>46</v>
      </c>
      <c r="B75" t="s">
        <v>46</v>
      </c>
      <c r="C75" t="str">
        <f>_xlfn.XLOOKUP(A75,SEGMENT!A:A,SEGMENT!B:B)</f>
        <v>B&amp;T</v>
      </c>
      <c r="D75" t="str">
        <f t="shared" si="3"/>
        <v>GMICA GMICA</v>
      </c>
      <c r="E75" t="s">
        <v>555</v>
      </c>
      <c r="F75" t="s">
        <v>597</v>
      </c>
    </row>
    <row r="76" spans="1:6" x14ac:dyDescent="0.25">
      <c r="A76" t="s">
        <v>46</v>
      </c>
      <c r="B76" t="s">
        <v>46</v>
      </c>
      <c r="C76" t="str">
        <f>_xlfn.XLOOKUP(A76,SEGMENT!A:A,SEGMENT!B:B)</f>
        <v>B&amp;T</v>
      </c>
      <c r="D76" t="str">
        <f t="shared" si="3"/>
        <v>GMICA GMICA</v>
      </c>
      <c r="E76" t="s">
        <v>555</v>
      </c>
      <c r="F76" t="s">
        <v>598</v>
      </c>
    </row>
    <row r="77" spans="1:6" x14ac:dyDescent="0.25">
      <c r="A77" t="s">
        <v>46</v>
      </c>
      <c r="B77" t="s">
        <v>46</v>
      </c>
      <c r="C77" t="str">
        <f>_xlfn.XLOOKUP(A77,SEGMENT!A:A,SEGMENT!B:B)</f>
        <v>B&amp;T</v>
      </c>
      <c r="D77" t="str">
        <f t="shared" si="3"/>
        <v>GMICA GMICA</v>
      </c>
      <c r="E77" t="s">
        <v>557</v>
      </c>
      <c r="F77" t="s">
        <v>601</v>
      </c>
    </row>
    <row r="78" spans="1:6" x14ac:dyDescent="0.25">
      <c r="A78" t="s">
        <v>46</v>
      </c>
      <c r="B78" t="s">
        <v>46</v>
      </c>
      <c r="C78" t="str">
        <f>_xlfn.XLOOKUP(A78,SEGMENT!A:A,SEGMENT!B:B)</f>
        <v>B&amp;T</v>
      </c>
      <c r="D78" t="str">
        <f t="shared" si="3"/>
        <v>GMICA GMICA</v>
      </c>
      <c r="E78" t="s">
        <v>557</v>
      </c>
      <c r="F78" t="s">
        <v>600</v>
      </c>
    </row>
    <row r="79" spans="1:6" x14ac:dyDescent="0.25">
      <c r="A79" t="s">
        <v>46</v>
      </c>
      <c r="B79" t="s">
        <v>46</v>
      </c>
      <c r="C79" t="str">
        <f>_xlfn.XLOOKUP(A79,SEGMENT!A:A,SEGMENT!B:B)</f>
        <v>B&amp;T</v>
      </c>
      <c r="D79" t="str">
        <f t="shared" si="3"/>
        <v>GMICA GMICA</v>
      </c>
      <c r="E79" t="s">
        <v>557</v>
      </c>
      <c r="F79" t="s">
        <v>602</v>
      </c>
    </row>
    <row r="80" spans="1:6" x14ac:dyDescent="0.25">
      <c r="A80" t="s">
        <v>46</v>
      </c>
      <c r="B80" t="s">
        <v>46</v>
      </c>
      <c r="C80" t="str">
        <f>_xlfn.XLOOKUP(A80,SEGMENT!A:A,SEGMENT!B:B)</f>
        <v>B&amp;T</v>
      </c>
      <c r="D80" t="str">
        <f t="shared" si="3"/>
        <v>GMICA GMICA</v>
      </c>
      <c r="E80" t="s">
        <v>554</v>
      </c>
      <c r="F80" t="s">
        <v>559</v>
      </c>
    </row>
    <row r="81" spans="1:6" x14ac:dyDescent="0.25">
      <c r="A81" t="s">
        <v>46</v>
      </c>
      <c r="B81" t="s">
        <v>46</v>
      </c>
      <c r="C81" t="str">
        <f>_xlfn.XLOOKUP(A81,SEGMENT!A:A,SEGMENT!B:B)</f>
        <v>B&amp;T</v>
      </c>
      <c r="D81" t="str">
        <f t="shared" si="3"/>
        <v>GMICA GMICA</v>
      </c>
      <c r="E81" t="s">
        <v>554</v>
      </c>
      <c r="F81" t="s">
        <v>561</v>
      </c>
    </row>
    <row r="82" spans="1:6" x14ac:dyDescent="0.25">
      <c r="A82" t="s">
        <v>46</v>
      </c>
      <c r="B82" t="s">
        <v>46</v>
      </c>
      <c r="C82" t="str">
        <f>_xlfn.XLOOKUP(A82,SEGMENT!A:A,SEGMENT!B:B)</f>
        <v>B&amp;T</v>
      </c>
      <c r="D82" t="str">
        <f t="shared" si="3"/>
        <v>GMICA GMICA</v>
      </c>
      <c r="E82" t="s">
        <v>554</v>
      </c>
      <c r="F82" t="s">
        <v>562</v>
      </c>
    </row>
    <row r="83" spans="1:6" x14ac:dyDescent="0.25">
      <c r="A83" t="s">
        <v>46</v>
      </c>
      <c r="B83" t="s">
        <v>46</v>
      </c>
      <c r="C83" t="str">
        <f>_xlfn.XLOOKUP(A83,SEGMENT!A:A,SEGMENT!B:B)</f>
        <v>B&amp;T</v>
      </c>
      <c r="D83" t="str">
        <f t="shared" si="3"/>
        <v>GMICA GMICA</v>
      </c>
      <c r="E83" t="s">
        <v>554</v>
      </c>
      <c r="F83" t="s">
        <v>560</v>
      </c>
    </row>
    <row r="84" spans="1:6" x14ac:dyDescent="0.25">
      <c r="A84" t="s">
        <v>46</v>
      </c>
      <c r="B84" t="s">
        <v>46</v>
      </c>
      <c r="C84" t="str">
        <f>_xlfn.XLOOKUP(A84,SEGMENT!A:A,SEGMENT!B:B)</f>
        <v>B&amp;T</v>
      </c>
      <c r="D84" t="str">
        <f t="shared" si="3"/>
        <v>GMICA GMICA</v>
      </c>
      <c r="E84" t="s">
        <v>554</v>
      </c>
      <c r="F84" t="s">
        <v>563</v>
      </c>
    </row>
    <row r="85" spans="1:6" x14ac:dyDescent="0.25">
      <c r="A85" t="s">
        <v>46</v>
      </c>
      <c r="B85" t="s">
        <v>46</v>
      </c>
      <c r="C85" t="str">
        <f>_xlfn.XLOOKUP(A85,SEGMENT!A:A,SEGMENT!B:B)</f>
        <v>B&amp;T</v>
      </c>
      <c r="D85" t="str">
        <f t="shared" si="3"/>
        <v>GMICA GMICA</v>
      </c>
      <c r="E85" t="s">
        <v>554</v>
      </c>
      <c r="F85" t="s">
        <v>565</v>
      </c>
    </row>
    <row r="86" spans="1:6" x14ac:dyDescent="0.25">
      <c r="A86" t="s">
        <v>46</v>
      </c>
      <c r="B86" t="s">
        <v>46</v>
      </c>
      <c r="C86" t="str">
        <f>_xlfn.XLOOKUP(A86,SEGMENT!A:A,SEGMENT!B:B)</f>
        <v>B&amp;T</v>
      </c>
      <c r="D86" t="str">
        <f t="shared" si="3"/>
        <v>GMICA GMICA</v>
      </c>
      <c r="E86" t="s">
        <v>554</v>
      </c>
      <c r="F86" t="s">
        <v>566</v>
      </c>
    </row>
    <row r="87" spans="1:6" x14ac:dyDescent="0.25">
      <c r="A87" t="s">
        <v>46</v>
      </c>
      <c r="B87" t="s">
        <v>46</v>
      </c>
      <c r="C87" t="str">
        <f>_xlfn.XLOOKUP(A87,SEGMENT!A:A,SEGMENT!B:B)</f>
        <v>B&amp;T</v>
      </c>
      <c r="D87" t="str">
        <f t="shared" si="3"/>
        <v>GMICA GMICA</v>
      </c>
      <c r="E87" t="s">
        <v>554</v>
      </c>
      <c r="F87" t="s">
        <v>564</v>
      </c>
    </row>
    <row r="88" spans="1:6" x14ac:dyDescent="0.25">
      <c r="A88" t="s">
        <v>46</v>
      </c>
      <c r="B88" t="s">
        <v>46</v>
      </c>
      <c r="C88" t="str">
        <f>_xlfn.XLOOKUP(A88,SEGMENT!A:A,SEGMENT!B:B)</f>
        <v>B&amp;T</v>
      </c>
      <c r="D88" t="str">
        <f t="shared" si="3"/>
        <v>GMICA GMICA</v>
      </c>
      <c r="E88" t="s">
        <v>554</v>
      </c>
      <c r="F88" t="s">
        <v>567</v>
      </c>
    </row>
    <row r="89" spans="1:6" x14ac:dyDescent="0.25">
      <c r="A89" t="s">
        <v>46</v>
      </c>
      <c r="B89" t="s">
        <v>46</v>
      </c>
      <c r="C89" t="str">
        <f>_xlfn.XLOOKUP(A89,SEGMENT!A:A,SEGMENT!B:B)</f>
        <v>B&amp;T</v>
      </c>
      <c r="D89" t="str">
        <f t="shared" si="3"/>
        <v>GMICA GMICA</v>
      </c>
      <c r="E89" t="s">
        <v>554</v>
      </c>
      <c r="F89" t="s">
        <v>569</v>
      </c>
    </row>
    <row r="90" spans="1:6" x14ac:dyDescent="0.25">
      <c r="A90" t="s">
        <v>46</v>
      </c>
      <c r="B90" t="s">
        <v>46</v>
      </c>
      <c r="C90" t="str">
        <f>_xlfn.XLOOKUP(A90,SEGMENT!A:A,SEGMENT!B:B)</f>
        <v>B&amp;T</v>
      </c>
      <c r="D90" t="str">
        <f t="shared" si="3"/>
        <v>GMICA GMICA</v>
      </c>
      <c r="E90" t="s">
        <v>554</v>
      </c>
      <c r="F90" t="s">
        <v>570</v>
      </c>
    </row>
    <row r="91" spans="1:6" x14ac:dyDescent="0.25">
      <c r="A91" t="s">
        <v>46</v>
      </c>
      <c r="B91" t="s">
        <v>46</v>
      </c>
      <c r="C91" t="str">
        <f>_xlfn.XLOOKUP(A91,SEGMENT!A:A,SEGMENT!B:B)</f>
        <v>B&amp;T</v>
      </c>
      <c r="D91" t="str">
        <f t="shared" si="3"/>
        <v>GMICA GMICA</v>
      </c>
      <c r="E91" t="s">
        <v>554</v>
      </c>
      <c r="F91" t="s">
        <v>568</v>
      </c>
    </row>
    <row r="92" spans="1:6" x14ac:dyDescent="0.25">
      <c r="A92" t="s">
        <v>46</v>
      </c>
      <c r="B92" t="s">
        <v>46</v>
      </c>
      <c r="C92" t="str">
        <f>_xlfn.XLOOKUP(A92,SEGMENT!A:A,SEGMENT!B:B)</f>
        <v>B&amp;T</v>
      </c>
      <c r="D92" t="str">
        <f t="shared" si="3"/>
        <v>GMICA GMICA</v>
      </c>
      <c r="E92" t="s">
        <v>554</v>
      </c>
      <c r="F92" t="s">
        <v>571</v>
      </c>
    </row>
    <row r="93" spans="1:6" x14ac:dyDescent="0.25">
      <c r="A93" t="s">
        <v>46</v>
      </c>
      <c r="B93" t="s">
        <v>46</v>
      </c>
      <c r="C93" t="str">
        <f>_xlfn.XLOOKUP(A93,SEGMENT!A:A,SEGMENT!B:B)</f>
        <v>B&amp;T</v>
      </c>
      <c r="D93" t="str">
        <f t="shared" si="3"/>
        <v>GMICA GMICA</v>
      </c>
      <c r="E93" t="s">
        <v>554</v>
      </c>
      <c r="F93" t="s">
        <v>573</v>
      </c>
    </row>
    <row r="94" spans="1:6" x14ac:dyDescent="0.25">
      <c r="A94" t="s">
        <v>46</v>
      </c>
      <c r="B94" t="s">
        <v>46</v>
      </c>
      <c r="C94" t="str">
        <f>_xlfn.XLOOKUP(A94,SEGMENT!A:A,SEGMENT!B:B)</f>
        <v>B&amp;T</v>
      </c>
      <c r="D94" t="str">
        <f t="shared" si="3"/>
        <v>GMICA GMICA</v>
      </c>
      <c r="E94" t="s">
        <v>554</v>
      </c>
      <c r="F94" t="s">
        <v>574</v>
      </c>
    </row>
    <row r="95" spans="1:6" x14ac:dyDescent="0.25">
      <c r="A95" t="s">
        <v>46</v>
      </c>
      <c r="B95" t="s">
        <v>46</v>
      </c>
      <c r="C95" t="str">
        <f>_xlfn.XLOOKUP(A95,SEGMENT!A:A,SEGMENT!B:B)</f>
        <v>B&amp;T</v>
      </c>
      <c r="D95" t="str">
        <f t="shared" si="3"/>
        <v>GMICA GMICA</v>
      </c>
      <c r="E95" t="s">
        <v>554</v>
      </c>
      <c r="F95" t="s">
        <v>572</v>
      </c>
    </row>
    <row r="96" spans="1:6" x14ac:dyDescent="0.25">
      <c r="A96" t="s">
        <v>46</v>
      </c>
      <c r="B96" t="s">
        <v>46</v>
      </c>
      <c r="C96" t="str">
        <f>_xlfn.XLOOKUP(A96,SEGMENT!A:A,SEGMENT!B:B)</f>
        <v>B&amp;T</v>
      </c>
      <c r="D96" t="str">
        <f t="shared" si="3"/>
        <v>GMICA GMICA</v>
      </c>
      <c r="E96" t="s">
        <v>554</v>
      </c>
      <c r="F96" t="s">
        <v>579</v>
      </c>
    </row>
    <row r="97" spans="1:6" x14ac:dyDescent="0.25">
      <c r="A97" t="s">
        <v>46</v>
      </c>
      <c r="B97" t="s">
        <v>46</v>
      </c>
      <c r="C97" t="str">
        <f>_xlfn.XLOOKUP(A97,SEGMENT!A:A,SEGMENT!B:B)</f>
        <v>B&amp;T</v>
      </c>
      <c r="D97" t="str">
        <f t="shared" si="3"/>
        <v>GMICA GMICA</v>
      </c>
      <c r="E97" t="s">
        <v>554</v>
      </c>
      <c r="F97" t="s">
        <v>581</v>
      </c>
    </row>
    <row r="98" spans="1:6" x14ac:dyDescent="0.25">
      <c r="A98" t="s">
        <v>46</v>
      </c>
      <c r="B98" t="s">
        <v>46</v>
      </c>
      <c r="C98" t="str">
        <f>_xlfn.XLOOKUP(A98,SEGMENT!A:A,SEGMENT!B:B)</f>
        <v>B&amp;T</v>
      </c>
      <c r="D98" t="str">
        <f t="shared" si="3"/>
        <v>GMICA GMICA</v>
      </c>
      <c r="E98" t="s">
        <v>554</v>
      </c>
      <c r="F98" t="s">
        <v>582</v>
      </c>
    </row>
    <row r="99" spans="1:6" x14ac:dyDescent="0.25">
      <c r="A99" t="s">
        <v>46</v>
      </c>
      <c r="B99" t="s">
        <v>46</v>
      </c>
      <c r="C99" t="str">
        <f>_xlfn.XLOOKUP(A99,SEGMENT!A:A,SEGMENT!B:B)</f>
        <v>B&amp;T</v>
      </c>
      <c r="D99" t="str">
        <f t="shared" si="3"/>
        <v>GMICA GMICA</v>
      </c>
      <c r="E99" t="s">
        <v>554</v>
      </c>
      <c r="F99" t="s">
        <v>580</v>
      </c>
    </row>
    <row r="100" spans="1:6" x14ac:dyDescent="0.25">
      <c r="A100" t="s">
        <v>46</v>
      </c>
      <c r="B100" t="s">
        <v>46</v>
      </c>
      <c r="C100" t="str">
        <f>_xlfn.XLOOKUP(A100,SEGMENT!A:A,SEGMENT!B:B)</f>
        <v>B&amp;T</v>
      </c>
      <c r="D100" t="str">
        <f t="shared" si="3"/>
        <v>GMICA GMICA</v>
      </c>
      <c r="E100" t="s">
        <v>554</v>
      </c>
      <c r="F100" t="s">
        <v>575</v>
      </c>
    </row>
    <row r="101" spans="1:6" x14ac:dyDescent="0.25">
      <c r="A101" t="s">
        <v>46</v>
      </c>
      <c r="B101" t="s">
        <v>46</v>
      </c>
      <c r="C101" t="str">
        <f>_xlfn.XLOOKUP(A101,SEGMENT!A:A,SEGMENT!B:B)</f>
        <v>B&amp;T</v>
      </c>
      <c r="D101" t="str">
        <f t="shared" si="3"/>
        <v>GMICA GMICA</v>
      </c>
      <c r="E101" t="s">
        <v>554</v>
      </c>
      <c r="F101" t="s">
        <v>577</v>
      </c>
    </row>
    <row r="102" spans="1:6" x14ac:dyDescent="0.25">
      <c r="A102" t="s">
        <v>46</v>
      </c>
      <c r="B102" t="s">
        <v>46</v>
      </c>
      <c r="C102" t="str">
        <f>_xlfn.XLOOKUP(A102,SEGMENT!A:A,SEGMENT!B:B)</f>
        <v>B&amp;T</v>
      </c>
      <c r="D102" t="str">
        <f t="shared" si="3"/>
        <v>GMICA GMICA</v>
      </c>
      <c r="E102" t="s">
        <v>554</v>
      </c>
      <c r="F102" t="s">
        <v>578</v>
      </c>
    </row>
    <row r="103" spans="1:6" x14ac:dyDescent="0.25">
      <c r="A103" t="s">
        <v>46</v>
      </c>
      <c r="B103" t="s">
        <v>46</v>
      </c>
      <c r="C103" t="str">
        <f>_xlfn.XLOOKUP(A103,SEGMENT!A:A,SEGMENT!B:B)</f>
        <v>B&amp;T</v>
      </c>
      <c r="D103" t="str">
        <f t="shared" si="3"/>
        <v>GMICA GMICA</v>
      </c>
      <c r="E103" t="s">
        <v>554</v>
      </c>
      <c r="F103" t="s">
        <v>576</v>
      </c>
    </row>
    <row r="104" spans="1:6" x14ac:dyDescent="0.25">
      <c r="A104" t="s">
        <v>46</v>
      </c>
      <c r="B104" t="s">
        <v>46</v>
      </c>
      <c r="C104" t="str">
        <f>_xlfn.XLOOKUP(A104,SEGMENT!A:A,SEGMENT!B:B)</f>
        <v>B&amp;T</v>
      </c>
      <c r="D104" t="str">
        <f t="shared" si="3"/>
        <v>GMICA GMICA</v>
      </c>
      <c r="E104" t="s">
        <v>558</v>
      </c>
      <c r="F104" t="s">
        <v>288</v>
      </c>
    </row>
  </sheetData>
  <autoFilter ref="A1:H100" xr:uid="{7F03E816-F135-4169-8524-7E9B5A6A7C68}"/>
  <sortState xmlns:xlrd2="http://schemas.microsoft.com/office/spreadsheetml/2017/richdata2" ref="F60:F104">
    <sortCondition ref="F60:F10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491D-886B-47C8-95D8-42364AA1B5DE}">
  <dimension ref="A1:H65"/>
  <sheetViews>
    <sheetView workbookViewId="0">
      <pane ySplit="1" topLeftCell="A2" activePane="bottomLeft" state="frozen"/>
      <selection pane="bottomLeft" activeCell="G59" sqref="G59"/>
    </sheetView>
  </sheetViews>
  <sheetFormatPr defaultRowHeight="15" x14ac:dyDescent="0.25"/>
  <cols>
    <col min="1" max="1" width="14.42578125" bestFit="1" customWidth="1"/>
    <col min="2" max="2" width="10.42578125" bestFit="1" customWidth="1"/>
    <col min="3" max="3" width="11.42578125" customWidth="1"/>
    <col min="4" max="4" width="23.7109375" bestFit="1" customWidth="1"/>
    <col min="5" max="5" width="19.42578125" bestFit="1" customWidth="1"/>
    <col min="6" max="6" width="20.5703125" bestFit="1" customWidth="1"/>
    <col min="7" max="7" width="6.85546875" bestFit="1" customWidth="1"/>
    <col min="8" max="8" width="6.42578125" bestFit="1" customWidth="1"/>
    <col min="9" max="9" width="17.42578125" bestFit="1" customWidth="1"/>
    <col min="10" max="10" width="28.85546875" bestFit="1" customWidth="1"/>
  </cols>
  <sheetData>
    <row r="1" spans="1:8" x14ac:dyDescent="0.25">
      <c r="A1" s="2" t="s">
        <v>102</v>
      </c>
      <c r="B1" s="2" t="s">
        <v>48</v>
      </c>
      <c r="C1" s="2" t="s">
        <v>435</v>
      </c>
      <c r="D1" s="2" t="s">
        <v>436</v>
      </c>
      <c r="E1" s="2" t="s">
        <v>103</v>
      </c>
      <c r="F1" s="2" t="s">
        <v>104</v>
      </c>
      <c r="G1" s="2" t="s">
        <v>107</v>
      </c>
      <c r="H1" s="2" t="s">
        <v>105</v>
      </c>
    </row>
    <row r="2" spans="1:8" x14ac:dyDescent="0.25">
      <c r="A2" t="s">
        <v>1</v>
      </c>
      <c r="B2" t="s">
        <v>31</v>
      </c>
      <c r="C2" t="str">
        <f>_xlfn.XLOOKUP(A2,SEGMENT!A:A,SEGMENT!B:B)</f>
        <v>SUV-D</v>
      </c>
      <c r="D2" t="str">
        <f t="shared" ref="D2:D33" si="0">_xlfn.CONCAT(A2," ",B2)</f>
        <v>BLAZER RS AT</v>
      </c>
      <c r="E2" t="s">
        <v>386</v>
      </c>
      <c r="F2" t="s">
        <v>407</v>
      </c>
    </row>
    <row r="3" spans="1:8" x14ac:dyDescent="0.25">
      <c r="A3" t="s">
        <v>17</v>
      </c>
      <c r="B3" t="s">
        <v>31</v>
      </c>
      <c r="C3" t="str">
        <f>_xlfn.XLOOKUP(A3,SEGMENT!A:A,SEGMENT!B:B)</f>
        <v>SUV-D</v>
      </c>
      <c r="D3" t="str">
        <f t="shared" si="0"/>
        <v>BLAZER EV RS AT</v>
      </c>
      <c r="E3" t="s">
        <v>387</v>
      </c>
      <c r="F3" t="s">
        <v>17</v>
      </c>
    </row>
    <row r="4" spans="1:8" x14ac:dyDescent="0.25">
      <c r="A4" t="s">
        <v>40</v>
      </c>
      <c r="B4" t="s">
        <v>33</v>
      </c>
      <c r="C4" t="str">
        <f>_xlfn.XLOOKUP(A4,SEGMENT!A:A,SEGMENT!B:B)</f>
        <v>SUV-B</v>
      </c>
      <c r="D4" t="str">
        <f t="shared" ref="D4" si="1">_xlfn.CONCAT(A4," ",B4)</f>
        <v>BOLT EUV LT AT</v>
      </c>
      <c r="E4" t="s">
        <v>525</v>
      </c>
      <c r="F4" t="s">
        <v>64</v>
      </c>
    </row>
    <row r="5" spans="1:8" x14ac:dyDescent="0.25">
      <c r="A5" t="s">
        <v>40</v>
      </c>
      <c r="B5" t="s">
        <v>33</v>
      </c>
      <c r="C5" t="str">
        <f>_xlfn.XLOOKUP(A5,SEGMENT!A:A,SEGMENT!B:B)</f>
        <v>SUV-B</v>
      </c>
      <c r="D5" t="str">
        <f t="shared" si="0"/>
        <v>BOLT EUV LT AT</v>
      </c>
      <c r="E5" t="s">
        <v>522</v>
      </c>
      <c r="F5" t="s">
        <v>64</v>
      </c>
    </row>
    <row r="6" spans="1:8" x14ac:dyDescent="0.25">
      <c r="A6" t="s">
        <v>45</v>
      </c>
      <c r="B6" t="s">
        <v>45</v>
      </c>
      <c r="C6" t="str">
        <f>_xlfn.XLOOKUP(A6,SEGMENT!A:A,SEGMENT!B:B)</f>
        <v>CADILLAC</v>
      </c>
      <c r="D6" t="str">
        <f t="shared" si="0"/>
        <v>CADILLAC CADILLAC</v>
      </c>
      <c r="E6" t="s">
        <v>402</v>
      </c>
      <c r="F6" t="s">
        <v>45</v>
      </c>
    </row>
    <row r="7" spans="1:8" x14ac:dyDescent="0.25">
      <c r="A7" t="s">
        <v>251</v>
      </c>
      <c r="B7" t="s">
        <v>252</v>
      </c>
      <c r="C7" t="str">
        <f>_xlfn.XLOOKUP(A7,SEGMENT!A:A,SEGMENT!B:B)</f>
        <v>SPORT</v>
      </c>
      <c r="D7" t="str">
        <f t="shared" si="0"/>
        <v>CAMARO SS AT</v>
      </c>
      <c r="E7" t="s">
        <v>396</v>
      </c>
      <c r="F7" t="s">
        <v>409</v>
      </c>
    </row>
    <row r="8" spans="1:8" x14ac:dyDescent="0.25">
      <c r="A8" t="s">
        <v>251</v>
      </c>
      <c r="B8" t="s">
        <v>410</v>
      </c>
      <c r="C8" t="str">
        <f>_xlfn.XLOOKUP(A8,SEGMENT!A:A,SEGMENT!B:B)</f>
        <v>SPORT</v>
      </c>
      <c r="D8" t="str">
        <f t="shared" si="0"/>
        <v>CAMARO ZL1</v>
      </c>
      <c r="E8" t="s">
        <v>396</v>
      </c>
      <c r="F8" t="s">
        <v>410</v>
      </c>
    </row>
    <row r="9" spans="1:8" x14ac:dyDescent="0.25">
      <c r="A9" t="s">
        <v>22</v>
      </c>
      <c r="B9" t="s">
        <v>33</v>
      </c>
      <c r="C9" t="str">
        <f>_xlfn.XLOOKUP(A9,SEGMENT!A:A,SEGMENT!B:B)</f>
        <v>SUV-C</v>
      </c>
      <c r="D9" t="str">
        <f t="shared" si="0"/>
        <v>CAPTIVA LT AT</v>
      </c>
      <c r="E9" t="s">
        <v>383</v>
      </c>
      <c r="F9" t="s">
        <v>405</v>
      </c>
    </row>
    <row r="10" spans="1:8" x14ac:dyDescent="0.25">
      <c r="A10" t="s">
        <v>38</v>
      </c>
      <c r="B10" t="s">
        <v>64</v>
      </c>
      <c r="C10" t="str">
        <f>_xlfn.XLOOKUP(A10,SEGMENT!A:A,SEGMENT!B:B)</f>
        <v>SUV-C</v>
      </c>
      <c r="D10" t="str">
        <f t="shared" si="0"/>
        <v>CAPTIVA NEV EUV</v>
      </c>
      <c r="E10" t="s">
        <v>401</v>
      </c>
      <c r="F10" t="s">
        <v>428</v>
      </c>
    </row>
    <row r="11" spans="1:8" x14ac:dyDescent="0.25">
      <c r="A11" t="s">
        <v>38</v>
      </c>
      <c r="B11" t="s">
        <v>65</v>
      </c>
      <c r="C11" t="str">
        <f>_xlfn.XLOOKUP(A11,SEGMENT!A:A,SEGMENT!B:B)</f>
        <v>SUV-C</v>
      </c>
      <c r="D11" t="str">
        <f t="shared" si="0"/>
        <v>CAPTIVA NEV PHEV</v>
      </c>
      <c r="E11" t="s">
        <v>400</v>
      </c>
      <c r="F11" t="s">
        <v>428</v>
      </c>
    </row>
    <row r="12" spans="1:8" x14ac:dyDescent="0.25">
      <c r="A12" t="s">
        <v>22</v>
      </c>
      <c r="B12" t="s">
        <v>29</v>
      </c>
      <c r="C12" t="str">
        <f>_xlfn.XLOOKUP(A12,SEGMENT!A:A,SEGMENT!B:B)</f>
        <v>SUV-C</v>
      </c>
      <c r="D12" t="str">
        <f t="shared" si="0"/>
        <v>CAPTIVA PREMIER AT</v>
      </c>
      <c r="E12" t="s">
        <v>383</v>
      </c>
      <c r="F12" t="s">
        <v>406</v>
      </c>
    </row>
    <row r="13" spans="1:8" x14ac:dyDescent="0.25">
      <c r="A13" t="s">
        <v>0</v>
      </c>
      <c r="B13" t="s">
        <v>286</v>
      </c>
      <c r="C13" t="str">
        <f>_xlfn.XLOOKUP(A13,SEGMENT!A:A,SEGMENT!B:B)</f>
        <v>PICKUP-D</v>
      </c>
      <c r="D13" t="str">
        <f t="shared" si="0"/>
        <v>COLORADO OBSOLETO</v>
      </c>
      <c r="E13" t="s">
        <v>390</v>
      </c>
      <c r="F13" t="s">
        <v>404</v>
      </c>
    </row>
    <row r="14" spans="1:8" x14ac:dyDescent="0.25">
      <c r="A14" t="s">
        <v>0</v>
      </c>
      <c r="B14" t="s">
        <v>53</v>
      </c>
      <c r="C14" t="str">
        <f>_xlfn.XLOOKUP(A14,SEGMENT!A:A,SEGMENT!B:B)</f>
        <v>PICKUP-D</v>
      </c>
      <c r="D14" t="str">
        <f t="shared" si="0"/>
        <v>COLORADO WT MT 4X4</v>
      </c>
      <c r="E14" t="s">
        <v>390</v>
      </c>
      <c r="F14" t="s">
        <v>423</v>
      </c>
    </row>
    <row r="15" spans="1:8" x14ac:dyDescent="0.25">
      <c r="A15" t="s">
        <v>0</v>
      </c>
      <c r="B15" t="s">
        <v>54</v>
      </c>
      <c r="C15" t="str">
        <f>_xlfn.XLOOKUP(A15,SEGMENT!A:A,SEGMENT!B:B)</f>
        <v>PICKUP-D</v>
      </c>
      <c r="D15" t="str">
        <f t="shared" si="0"/>
        <v>COLORADO Z71 AT</v>
      </c>
      <c r="E15" t="s">
        <v>390</v>
      </c>
      <c r="F15" t="s">
        <v>424</v>
      </c>
    </row>
    <row r="16" spans="1:8" x14ac:dyDescent="0.25">
      <c r="A16" t="s">
        <v>0</v>
      </c>
      <c r="B16" t="s">
        <v>50</v>
      </c>
      <c r="C16" t="str">
        <f>_xlfn.XLOOKUP(A16,SEGMENT!A:A,SEGMENT!B:B)</f>
        <v>PICKUP-D</v>
      </c>
      <c r="D16" t="str">
        <f t="shared" si="0"/>
        <v>COLORADO HC AT</v>
      </c>
      <c r="E16" t="s">
        <v>390</v>
      </c>
      <c r="F16" t="s">
        <v>425</v>
      </c>
    </row>
    <row r="17" spans="1:7" x14ac:dyDescent="0.25">
      <c r="A17" t="s">
        <v>21</v>
      </c>
      <c r="B17" t="s">
        <v>31</v>
      </c>
      <c r="C17" t="str">
        <f>_xlfn.XLOOKUP(A17,SEGMENT!A:A,SEGMENT!B:B)</f>
        <v>SUV-C</v>
      </c>
      <c r="D17" t="str">
        <f t="shared" si="0"/>
        <v>EQUINOX RS AT</v>
      </c>
      <c r="E17" t="s">
        <v>384</v>
      </c>
      <c r="F17" t="s">
        <v>31</v>
      </c>
    </row>
    <row r="18" spans="1:7" x14ac:dyDescent="0.25">
      <c r="A18" t="s">
        <v>23</v>
      </c>
      <c r="B18" t="s">
        <v>33</v>
      </c>
      <c r="C18" t="str">
        <f>_xlfn.XLOOKUP(A18,SEGMENT!A:A,SEGMENT!B:B)</f>
        <v>SUV-C</v>
      </c>
      <c r="D18" t="str">
        <f t="shared" si="0"/>
        <v>EQUINOX EV LT AT</v>
      </c>
      <c r="E18" t="s">
        <v>385</v>
      </c>
      <c r="F18" t="s">
        <v>99</v>
      </c>
    </row>
    <row r="19" spans="1:7" x14ac:dyDescent="0.25">
      <c r="A19" t="s">
        <v>46</v>
      </c>
      <c r="B19" t="s">
        <v>46</v>
      </c>
      <c r="C19" t="str">
        <f>_xlfn.XLOOKUP(A19,SEGMENT!A:A,SEGMENT!B:B)</f>
        <v>B&amp;T</v>
      </c>
      <c r="D19" t="str">
        <f t="shared" si="0"/>
        <v>GMICA GMICA</v>
      </c>
      <c r="E19" t="s">
        <v>397</v>
      </c>
      <c r="F19" t="s">
        <v>46</v>
      </c>
    </row>
    <row r="20" spans="1:7" x14ac:dyDescent="0.25">
      <c r="A20" t="s">
        <v>42</v>
      </c>
      <c r="B20" t="s">
        <v>429</v>
      </c>
      <c r="C20" t="str">
        <f>_xlfn.XLOOKUP(A20,SEGMENT!A:A,SEGMENT!B:B)</f>
        <v>CAR-B</v>
      </c>
      <c r="D20" t="str">
        <f t="shared" si="0"/>
        <v>JOY BASE</v>
      </c>
      <c r="E20" t="s">
        <v>379</v>
      </c>
      <c r="F20" t="s">
        <v>429</v>
      </c>
    </row>
    <row r="21" spans="1:7" x14ac:dyDescent="0.25">
      <c r="A21" t="s">
        <v>42</v>
      </c>
      <c r="B21" t="s">
        <v>57</v>
      </c>
      <c r="C21" t="str">
        <f>_xlfn.XLOOKUP(A21,SEGMENT!A:A,SEGMENT!B:B)</f>
        <v>CAR-B</v>
      </c>
      <c r="D21" t="str">
        <f t="shared" si="0"/>
        <v>JOY BLACK MT</v>
      </c>
      <c r="E21" t="s">
        <v>379</v>
      </c>
      <c r="F21" t="s">
        <v>430</v>
      </c>
    </row>
    <row r="22" spans="1:7" x14ac:dyDescent="0.25">
      <c r="A22" t="s">
        <v>281</v>
      </c>
      <c r="B22" t="s">
        <v>429</v>
      </c>
      <c r="C22" t="str">
        <f>_xlfn.XLOOKUP(A22,SEGMENT!A:A,SEGMENT!B:B)</f>
        <v>CAR-B</v>
      </c>
      <c r="D22" t="str">
        <f t="shared" si="0"/>
        <v>JOY NB BASE</v>
      </c>
      <c r="E22" t="s">
        <v>378</v>
      </c>
      <c r="F22" t="s">
        <v>429</v>
      </c>
      <c r="G22" t="s">
        <v>281</v>
      </c>
    </row>
    <row r="23" spans="1:7" x14ac:dyDescent="0.25">
      <c r="A23" t="s">
        <v>281</v>
      </c>
      <c r="B23" t="s">
        <v>57</v>
      </c>
      <c r="C23" t="str">
        <f>_xlfn.XLOOKUP(A23,SEGMENT!A:A,SEGMENT!B:B)</f>
        <v>CAR-B</v>
      </c>
      <c r="D23" t="str">
        <f t="shared" si="0"/>
        <v>JOY NB BLACK MT</v>
      </c>
      <c r="E23" t="s">
        <v>378</v>
      </c>
      <c r="F23" t="s">
        <v>430</v>
      </c>
    </row>
    <row r="24" spans="1:7" x14ac:dyDescent="0.25">
      <c r="A24" t="s">
        <v>205</v>
      </c>
      <c r="B24" t="s">
        <v>286</v>
      </c>
      <c r="C24" t="str">
        <f>_xlfn.XLOOKUP(A24,SEGMENT!A:A,SEGMENT!B:B)</f>
        <v>PICKUP-C</v>
      </c>
      <c r="D24" t="str">
        <f t="shared" si="0"/>
        <v>MONTANA OBSOLETO</v>
      </c>
      <c r="E24" t="s">
        <v>393</v>
      </c>
      <c r="F24" t="s">
        <v>404</v>
      </c>
    </row>
    <row r="25" spans="1:7" x14ac:dyDescent="0.25">
      <c r="A25" t="s">
        <v>205</v>
      </c>
      <c r="B25" t="s">
        <v>34</v>
      </c>
      <c r="C25" t="str">
        <f>_xlfn.XLOOKUP(A25,SEGMENT!A:A,SEGMENT!B:B)</f>
        <v>PICKUP-C</v>
      </c>
      <c r="D25" t="str">
        <f t="shared" si="0"/>
        <v>MONTANA LTZ AT</v>
      </c>
      <c r="E25" t="s">
        <v>393</v>
      </c>
      <c r="F25" t="s">
        <v>275</v>
      </c>
    </row>
    <row r="26" spans="1:7" x14ac:dyDescent="0.25">
      <c r="A26" t="s">
        <v>205</v>
      </c>
      <c r="B26" t="s">
        <v>29</v>
      </c>
      <c r="C26" t="str">
        <f>_xlfn.XLOOKUP(A26,SEGMENT!A:A,SEGMENT!B:B)</f>
        <v>PICKUP-C</v>
      </c>
      <c r="D26" t="str">
        <f t="shared" si="0"/>
        <v>MONTANA PREMIER AT</v>
      </c>
      <c r="E26" t="s">
        <v>393</v>
      </c>
      <c r="F26" t="s">
        <v>408</v>
      </c>
    </row>
    <row r="27" spans="1:7" x14ac:dyDescent="0.25">
      <c r="A27" t="s">
        <v>205</v>
      </c>
      <c r="B27" t="s">
        <v>31</v>
      </c>
      <c r="C27" t="str">
        <f>_xlfn.XLOOKUP(A27,SEGMENT!A:A,SEGMENT!B:B)</f>
        <v>PICKUP-C</v>
      </c>
      <c r="D27" t="str">
        <f t="shared" si="0"/>
        <v>MONTANA RS AT</v>
      </c>
      <c r="E27" t="s">
        <v>393</v>
      </c>
      <c r="F27" t="s">
        <v>68</v>
      </c>
    </row>
    <row r="28" spans="1:7" x14ac:dyDescent="0.25">
      <c r="A28" t="s">
        <v>9</v>
      </c>
      <c r="B28" t="s">
        <v>58</v>
      </c>
      <c r="C28" t="str">
        <f>_xlfn.XLOOKUP(A28,SEGMENT!A:A,SEGMENT!B:B)</f>
        <v>VAN-B</v>
      </c>
      <c r="D28" t="str">
        <f t="shared" si="0"/>
        <v>N400 CARGO</v>
      </c>
      <c r="E28" t="s">
        <v>395</v>
      </c>
      <c r="F28" t="s">
        <v>59</v>
      </c>
    </row>
    <row r="29" spans="1:7" x14ac:dyDescent="0.25">
      <c r="A29" t="s">
        <v>9</v>
      </c>
      <c r="B29" t="s">
        <v>60</v>
      </c>
      <c r="C29" t="str">
        <f>_xlfn.XLOOKUP(A29,SEGMENT!A:A,SEGMENT!B:B)</f>
        <v>VAN-B</v>
      </c>
      <c r="D29" t="str">
        <f t="shared" si="0"/>
        <v>N400 PASS</v>
      </c>
      <c r="E29" t="s">
        <v>395</v>
      </c>
      <c r="F29" t="s">
        <v>427</v>
      </c>
    </row>
    <row r="30" spans="1:7" x14ac:dyDescent="0.25">
      <c r="A30" t="s">
        <v>36</v>
      </c>
      <c r="B30" t="s">
        <v>286</v>
      </c>
      <c r="C30" t="str">
        <f>_xlfn.XLOOKUP(A30,SEGMENT!A:A,SEGMENT!B:B)</f>
        <v>CAR-B</v>
      </c>
      <c r="D30" t="str">
        <f t="shared" si="0"/>
        <v>ONIX OBSOLETO</v>
      </c>
      <c r="E30" t="s">
        <v>381</v>
      </c>
      <c r="F30" t="s">
        <v>404</v>
      </c>
    </row>
    <row r="31" spans="1:7" x14ac:dyDescent="0.25">
      <c r="A31" t="s">
        <v>36</v>
      </c>
      <c r="B31" t="s">
        <v>30</v>
      </c>
      <c r="C31" t="str">
        <f>_xlfn.XLOOKUP(A31,SEGMENT!A:A,SEGMENT!B:B)</f>
        <v>CAR-B</v>
      </c>
      <c r="D31" t="str">
        <f t="shared" si="0"/>
        <v>ONIX RS MT</v>
      </c>
      <c r="E31" t="s">
        <v>381</v>
      </c>
      <c r="F31" t="s">
        <v>30</v>
      </c>
    </row>
    <row r="32" spans="1:7" x14ac:dyDescent="0.25">
      <c r="A32" t="s">
        <v>36</v>
      </c>
      <c r="B32" t="s">
        <v>31</v>
      </c>
      <c r="C32" t="str">
        <f>_xlfn.XLOOKUP(A32,SEGMENT!A:A,SEGMENT!B:B)</f>
        <v>CAR-B</v>
      </c>
      <c r="D32" t="str">
        <f t="shared" si="0"/>
        <v>ONIX RS AT</v>
      </c>
      <c r="E32" t="s">
        <v>381</v>
      </c>
      <c r="F32" t="s">
        <v>31</v>
      </c>
    </row>
    <row r="33" spans="1:6" x14ac:dyDescent="0.25">
      <c r="A33" t="s">
        <v>36</v>
      </c>
      <c r="B33" t="s">
        <v>29</v>
      </c>
      <c r="C33" t="str">
        <f>_xlfn.XLOOKUP(A33,SEGMENT!A:A,SEGMENT!B:B)</f>
        <v>CAR-B</v>
      </c>
      <c r="D33" t="str">
        <f t="shared" si="0"/>
        <v>ONIX PREMIER AT</v>
      </c>
      <c r="E33" t="s">
        <v>381</v>
      </c>
      <c r="F33" t="s">
        <v>29</v>
      </c>
    </row>
    <row r="34" spans="1:6" x14ac:dyDescent="0.25">
      <c r="A34" t="s">
        <v>497</v>
      </c>
      <c r="B34" t="s">
        <v>27</v>
      </c>
      <c r="C34" t="str">
        <f>_xlfn.XLOOKUP(A34,SEGMENT!A:A,SEGMENT!B:B)</f>
        <v>CAR-B</v>
      </c>
      <c r="D34" t="str">
        <f t="shared" ref="D34:D65" si="2">_xlfn.CONCAT(A34," ",B34)</f>
        <v>ONIX NB LT MT</v>
      </c>
      <c r="E34" t="s">
        <v>380</v>
      </c>
      <c r="F34" t="s">
        <v>27</v>
      </c>
    </row>
    <row r="35" spans="1:6" x14ac:dyDescent="0.25">
      <c r="A35" t="s">
        <v>497</v>
      </c>
      <c r="B35" t="s">
        <v>33</v>
      </c>
      <c r="C35" t="str">
        <f>_xlfn.XLOOKUP(A35,SEGMENT!A:A,SEGMENT!B:B)</f>
        <v>CAR-B</v>
      </c>
      <c r="D35" t="str">
        <f t="shared" si="2"/>
        <v>ONIX NB LT AT</v>
      </c>
      <c r="E35" t="s">
        <v>380</v>
      </c>
      <c r="F35" t="s">
        <v>33</v>
      </c>
    </row>
    <row r="36" spans="1:6" x14ac:dyDescent="0.25">
      <c r="A36" t="s">
        <v>497</v>
      </c>
      <c r="B36" t="s">
        <v>34</v>
      </c>
      <c r="C36" t="str">
        <f>_xlfn.XLOOKUP(A36,SEGMENT!A:A,SEGMENT!B:B)</f>
        <v>CAR-B</v>
      </c>
      <c r="D36" t="str">
        <f t="shared" si="2"/>
        <v>ONIX NB LTZ AT</v>
      </c>
      <c r="E36" t="s">
        <v>380</v>
      </c>
      <c r="F36" t="s">
        <v>34</v>
      </c>
    </row>
    <row r="37" spans="1:6" x14ac:dyDescent="0.25">
      <c r="A37" t="s">
        <v>497</v>
      </c>
      <c r="B37" t="s">
        <v>29</v>
      </c>
      <c r="C37" t="str">
        <f>_xlfn.XLOOKUP(A37,SEGMENT!A:A,SEGMENT!B:B)</f>
        <v>CAR-B</v>
      </c>
      <c r="D37" t="str">
        <f t="shared" si="2"/>
        <v>ONIX NB PREMIER AT</v>
      </c>
      <c r="E37" t="s">
        <v>380</v>
      </c>
      <c r="F37" t="s">
        <v>29</v>
      </c>
    </row>
    <row r="38" spans="1:6" x14ac:dyDescent="0.25">
      <c r="A38" t="s">
        <v>497</v>
      </c>
      <c r="B38" t="s">
        <v>27</v>
      </c>
      <c r="C38" t="str">
        <f>_xlfn.XLOOKUP(A38,SEGMENT!A:A,SEGMENT!B:B)</f>
        <v>CAR-B</v>
      </c>
      <c r="D38" t="str">
        <f t="shared" si="2"/>
        <v>ONIX NB LT MT</v>
      </c>
      <c r="E38" t="s">
        <v>380</v>
      </c>
      <c r="F38" t="s">
        <v>431</v>
      </c>
    </row>
    <row r="39" spans="1:6" x14ac:dyDescent="0.25">
      <c r="A39" t="s">
        <v>497</v>
      </c>
      <c r="B39" t="s">
        <v>33</v>
      </c>
      <c r="C39" t="str">
        <f>_xlfn.XLOOKUP(A39,SEGMENT!A:A,SEGMENT!B:B)</f>
        <v>CAR-B</v>
      </c>
      <c r="D39" t="str">
        <f t="shared" si="2"/>
        <v>ONIX NB LT AT</v>
      </c>
      <c r="E39" t="s">
        <v>380</v>
      </c>
      <c r="F39" t="s">
        <v>432</v>
      </c>
    </row>
    <row r="40" spans="1:6" x14ac:dyDescent="0.25">
      <c r="A40" t="s">
        <v>497</v>
      </c>
      <c r="B40" t="s">
        <v>34</v>
      </c>
      <c r="C40" t="str">
        <f>_xlfn.XLOOKUP(A40,SEGMENT!A:A,SEGMENT!B:B)</f>
        <v>CAR-B</v>
      </c>
      <c r="D40" t="str">
        <f t="shared" si="2"/>
        <v>ONIX NB LTZ AT</v>
      </c>
      <c r="E40" t="s">
        <v>380</v>
      </c>
      <c r="F40" t="s">
        <v>417</v>
      </c>
    </row>
    <row r="41" spans="1:6" x14ac:dyDescent="0.25">
      <c r="A41" t="s">
        <v>497</v>
      </c>
      <c r="B41" t="s">
        <v>29</v>
      </c>
      <c r="C41" t="str">
        <f>_xlfn.XLOOKUP(A41,SEGMENT!A:A,SEGMENT!B:B)</f>
        <v>CAR-B</v>
      </c>
      <c r="D41" t="str">
        <f t="shared" si="2"/>
        <v>ONIX NB PREMIER AT</v>
      </c>
      <c r="E41" t="s">
        <v>380</v>
      </c>
      <c r="F41" t="s">
        <v>418</v>
      </c>
    </row>
    <row r="42" spans="1:6" x14ac:dyDescent="0.25">
      <c r="A42" t="s">
        <v>47</v>
      </c>
      <c r="B42" t="s">
        <v>47</v>
      </c>
      <c r="C42" t="str">
        <f>_xlfn.XLOOKUP(A42,SEGMENT!A:A,SEGMENT!B:B)</f>
        <v>OTROS</v>
      </c>
      <c r="D42" t="str">
        <f t="shared" si="2"/>
        <v>OTROS OTROS</v>
      </c>
      <c r="E42" t="s">
        <v>403</v>
      </c>
      <c r="F42" t="s">
        <v>47</v>
      </c>
    </row>
    <row r="43" spans="1:6" x14ac:dyDescent="0.25">
      <c r="A43" t="s">
        <v>3</v>
      </c>
      <c r="B43" t="s">
        <v>54</v>
      </c>
      <c r="C43" t="str">
        <f>_xlfn.XLOOKUP(A43,SEGMENT!A:A,SEGMENT!B:B)</f>
        <v>PICKUP-E</v>
      </c>
      <c r="D43" t="str">
        <f t="shared" si="2"/>
        <v>SILVERADO Z71 AT</v>
      </c>
      <c r="E43" t="s">
        <v>391</v>
      </c>
      <c r="F43" t="s">
        <v>87</v>
      </c>
    </row>
    <row r="44" spans="1:6" x14ac:dyDescent="0.25">
      <c r="A44" t="s">
        <v>433</v>
      </c>
      <c r="B44" t="s">
        <v>29</v>
      </c>
      <c r="C44" t="str">
        <f>_xlfn.XLOOKUP(A44,SEGMENT!A:A,SEGMENT!B:B)</f>
        <v>SUV-B</v>
      </c>
      <c r="D44" t="str">
        <f t="shared" si="2"/>
        <v>SONIC PREMIER AT</v>
      </c>
      <c r="E44" t="s">
        <v>399</v>
      </c>
      <c r="F44" t="s">
        <v>412</v>
      </c>
    </row>
    <row r="45" spans="1:6" x14ac:dyDescent="0.25">
      <c r="A45" t="s">
        <v>433</v>
      </c>
      <c r="B45" t="s">
        <v>31</v>
      </c>
      <c r="C45" t="str">
        <f>_xlfn.XLOOKUP(A45,SEGMENT!A:A,SEGMENT!B:B)</f>
        <v>SUV-B</v>
      </c>
      <c r="D45" t="str">
        <f t="shared" si="2"/>
        <v>SONIC RS AT</v>
      </c>
      <c r="E45" t="s">
        <v>399</v>
      </c>
      <c r="F45" t="s">
        <v>413</v>
      </c>
    </row>
    <row r="46" spans="1:6" x14ac:dyDescent="0.25">
      <c r="A46" t="s">
        <v>433</v>
      </c>
      <c r="B46" t="s">
        <v>29</v>
      </c>
      <c r="C46" t="str">
        <f>_xlfn.XLOOKUP(A46,SEGMENT!A:A,SEGMENT!B:B)</f>
        <v>SUV-B</v>
      </c>
      <c r="D46" t="str">
        <f t="shared" si="2"/>
        <v>SONIC PREMIER AT</v>
      </c>
      <c r="E46" t="s">
        <v>521</v>
      </c>
      <c r="F46" t="s">
        <v>408</v>
      </c>
    </row>
    <row r="47" spans="1:6" x14ac:dyDescent="0.25">
      <c r="A47" t="s">
        <v>433</v>
      </c>
      <c r="B47" t="s">
        <v>31</v>
      </c>
      <c r="C47" t="str">
        <f>_xlfn.XLOOKUP(A47,SEGMENT!A:A,SEGMENT!B:B)</f>
        <v>SUV-B</v>
      </c>
      <c r="D47" t="str">
        <f t="shared" si="2"/>
        <v>SONIC RS AT</v>
      </c>
      <c r="E47" t="s">
        <v>521</v>
      </c>
      <c r="F47" t="s">
        <v>68</v>
      </c>
    </row>
    <row r="48" spans="1:6" x14ac:dyDescent="0.25">
      <c r="A48" t="s">
        <v>24</v>
      </c>
      <c r="B48" t="s">
        <v>64</v>
      </c>
      <c r="C48" t="str">
        <f>_xlfn.XLOOKUP(A48,SEGMENT!A:A,SEGMENT!B:B)</f>
        <v>SUV-B</v>
      </c>
      <c r="D48" t="str">
        <f t="shared" si="2"/>
        <v>SPARK EUV EUV</v>
      </c>
      <c r="E48" t="s">
        <v>398</v>
      </c>
      <c r="F48" t="s">
        <v>411</v>
      </c>
    </row>
    <row r="49" spans="1:7" x14ac:dyDescent="0.25">
      <c r="A49" t="s">
        <v>12</v>
      </c>
      <c r="B49" t="s">
        <v>28</v>
      </c>
      <c r="C49" t="str">
        <f>_xlfn.XLOOKUP(A49,SEGMENT!A:A,SEGMENT!B:B)</f>
        <v>MPV-B</v>
      </c>
      <c r="D49" t="str">
        <f t="shared" si="2"/>
        <v>SPIN LTZ MT</v>
      </c>
      <c r="E49" t="s">
        <v>392</v>
      </c>
      <c r="F49" t="s">
        <v>426</v>
      </c>
    </row>
    <row r="50" spans="1:7" x14ac:dyDescent="0.25">
      <c r="A50" t="s">
        <v>12</v>
      </c>
      <c r="B50" t="s">
        <v>34</v>
      </c>
      <c r="C50" t="str">
        <f>_xlfn.XLOOKUP(A50,SEGMENT!A:A,SEGMENT!B:B)</f>
        <v>MPV-B</v>
      </c>
      <c r="D50" t="str">
        <f t="shared" si="2"/>
        <v>SPIN LTZ AT</v>
      </c>
      <c r="E50" t="s">
        <v>392</v>
      </c>
      <c r="F50" t="s">
        <v>34</v>
      </c>
    </row>
    <row r="51" spans="1:7" x14ac:dyDescent="0.25">
      <c r="A51" t="s">
        <v>5</v>
      </c>
      <c r="B51" t="s">
        <v>54</v>
      </c>
      <c r="C51" t="str">
        <f>_xlfn.XLOOKUP(A51,SEGMENT!A:A,SEGMENT!B:B)</f>
        <v>SUV-E</v>
      </c>
      <c r="D51" t="str">
        <f t="shared" si="2"/>
        <v>TAHOE Z71 AT</v>
      </c>
      <c r="E51" t="s">
        <v>389</v>
      </c>
      <c r="F51" t="s">
        <v>421</v>
      </c>
      <c r="G51" t="s">
        <v>422</v>
      </c>
    </row>
    <row r="52" spans="1:7" x14ac:dyDescent="0.25">
      <c r="A52" t="s">
        <v>414</v>
      </c>
      <c r="B52" t="s">
        <v>414</v>
      </c>
      <c r="C52" t="str">
        <f>_xlfn.XLOOKUP(A52,SEGMENT!A:A,SEGMENT!B:B)</f>
        <v>OTROS</v>
      </c>
      <c r="D52" t="str">
        <f t="shared" si="2"/>
        <v>TAXI TAXI</v>
      </c>
      <c r="E52" t="s">
        <v>394</v>
      </c>
      <c r="F52" t="s">
        <v>42</v>
      </c>
    </row>
    <row r="53" spans="1:7" x14ac:dyDescent="0.25">
      <c r="A53" t="s">
        <v>20</v>
      </c>
      <c r="B53" t="s">
        <v>32</v>
      </c>
      <c r="C53" t="str">
        <f>_xlfn.XLOOKUP(A53,SEGMENT!A:A,SEGMENT!B:B)</f>
        <v>SUV-B</v>
      </c>
      <c r="D53" t="str">
        <f t="shared" si="2"/>
        <v>TRACKER LS MT</v>
      </c>
      <c r="E53" t="s">
        <v>382</v>
      </c>
      <c r="F53" t="s">
        <v>32</v>
      </c>
    </row>
    <row r="54" spans="1:7" x14ac:dyDescent="0.25">
      <c r="A54" t="s">
        <v>20</v>
      </c>
      <c r="B54" t="s">
        <v>63</v>
      </c>
      <c r="C54" t="str">
        <f>_xlfn.XLOOKUP(A54,SEGMENT!A:A,SEGMENT!B:B)</f>
        <v>SUV-B</v>
      </c>
      <c r="D54" t="str">
        <f t="shared" si="2"/>
        <v>TRACKER LS AT</v>
      </c>
      <c r="E54" t="s">
        <v>382</v>
      </c>
      <c r="F54" t="s">
        <v>63</v>
      </c>
    </row>
    <row r="55" spans="1:7" x14ac:dyDescent="0.25">
      <c r="A55" t="s">
        <v>20</v>
      </c>
      <c r="B55" t="s">
        <v>34</v>
      </c>
      <c r="C55" t="str">
        <f>_xlfn.XLOOKUP(A55,SEGMENT!A:A,SEGMENT!B:B)</f>
        <v>SUV-B</v>
      </c>
      <c r="D55" t="str">
        <f t="shared" si="2"/>
        <v>TRACKER LTZ AT</v>
      </c>
      <c r="E55" t="s">
        <v>382</v>
      </c>
      <c r="F55" t="s">
        <v>34</v>
      </c>
    </row>
    <row r="56" spans="1:7" x14ac:dyDescent="0.25">
      <c r="A56" t="s">
        <v>20</v>
      </c>
      <c r="B56" t="s">
        <v>29</v>
      </c>
      <c r="C56" t="str">
        <f>_xlfn.XLOOKUP(A56,SEGMENT!A:A,SEGMENT!B:B)</f>
        <v>SUV-B</v>
      </c>
      <c r="D56" t="str">
        <f t="shared" si="2"/>
        <v>TRACKER PREMIER AT</v>
      </c>
      <c r="E56" t="s">
        <v>382</v>
      </c>
      <c r="F56" t="s">
        <v>29</v>
      </c>
    </row>
    <row r="57" spans="1:7" x14ac:dyDescent="0.25">
      <c r="A57" t="s">
        <v>20</v>
      </c>
      <c r="B57" t="s">
        <v>31</v>
      </c>
      <c r="C57" t="str">
        <f>_xlfn.XLOOKUP(A57,SEGMENT!A:A,SEGMENT!B:B)</f>
        <v>SUV-B</v>
      </c>
      <c r="D57" t="str">
        <f t="shared" si="2"/>
        <v>TRACKER RS AT</v>
      </c>
      <c r="E57" t="s">
        <v>382</v>
      </c>
      <c r="F57" t="s">
        <v>68</v>
      </c>
    </row>
    <row r="58" spans="1:7" x14ac:dyDescent="0.25">
      <c r="A58" t="s">
        <v>20</v>
      </c>
      <c r="B58" t="s">
        <v>32</v>
      </c>
      <c r="C58" t="str">
        <f>_xlfn.XLOOKUP(A58,SEGMENT!A:A,SEGMENT!B:B)</f>
        <v>SUV-B</v>
      </c>
      <c r="D58" t="str">
        <f t="shared" si="2"/>
        <v>TRACKER LS MT</v>
      </c>
      <c r="E58" t="s">
        <v>382</v>
      </c>
      <c r="F58" t="s">
        <v>415</v>
      </c>
    </row>
    <row r="59" spans="1:7" x14ac:dyDescent="0.25">
      <c r="A59" t="s">
        <v>20</v>
      </c>
      <c r="B59" t="s">
        <v>63</v>
      </c>
      <c r="C59" t="str">
        <f>_xlfn.XLOOKUP(A59,SEGMENT!A:A,SEGMENT!B:B)</f>
        <v>SUV-B</v>
      </c>
      <c r="D59" t="str">
        <f t="shared" si="2"/>
        <v>TRACKER LS AT</v>
      </c>
      <c r="E59" t="s">
        <v>382</v>
      </c>
      <c r="F59" t="s">
        <v>416</v>
      </c>
      <c r="G59" t="s">
        <v>547</v>
      </c>
    </row>
    <row r="60" spans="1:7" x14ac:dyDescent="0.25">
      <c r="A60" t="s">
        <v>20</v>
      </c>
      <c r="B60" t="s">
        <v>34</v>
      </c>
      <c r="C60" t="str">
        <f>_xlfn.XLOOKUP(A60,SEGMENT!A:A,SEGMENT!B:B)</f>
        <v>SUV-B</v>
      </c>
      <c r="D60" t="str">
        <f t="shared" si="2"/>
        <v>TRACKER LTZ AT</v>
      </c>
      <c r="E60" t="s">
        <v>382</v>
      </c>
      <c r="F60" t="s">
        <v>417</v>
      </c>
    </row>
    <row r="61" spans="1:7" x14ac:dyDescent="0.25">
      <c r="A61" t="s">
        <v>20</v>
      </c>
      <c r="B61" t="s">
        <v>29</v>
      </c>
      <c r="C61" t="str">
        <f>_xlfn.XLOOKUP(A61,SEGMENT!A:A,SEGMENT!B:B)</f>
        <v>SUV-B</v>
      </c>
      <c r="D61" t="str">
        <f t="shared" si="2"/>
        <v>TRACKER PREMIER AT</v>
      </c>
      <c r="E61" t="s">
        <v>382</v>
      </c>
      <c r="F61" t="s">
        <v>418</v>
      </c>
    </row>
    <row r="62" spans="1:7" x14ac:dyDescent="0.25">
      <c r="A62" t="s">
        <v>20</v>
      </c>
      <c r="B62" t="s">
        <v>31</v>
      </c>
      <c r="C62" t="str">
        <f>_xlfn.XLOOKUP(A62,SEGMENT!A:A,SEGMENT!B:B)</f>
        <v>SUV-B</v>
      </c>
      <c r="D62" t="str">
        <f t="shared" si="2"/>
        <v>TRACKER RS AT</v>
      </c>
      <c r="E62" t="s">
        <v>382</v>
      </c>
      <c r="F62" t="s">
        <v>419</v>
      </c>
    </row>
    <row r="63" spans="1:7" x14ac:dyDescent="0.25">
      <c r="A63" t="s">
        <v>6</v>
      </c>
      <c r="B63" t="s">
        <v>286</v>
      </c>
      <c r="C63" t="str">
        <f>_xlfn.XLOOKUP(A63,SEGMENT!A:A,SEGMENT!B:B)</f>
        <v>SUV-D</v>
      </c>
      <c r="D63" t="str">
        <f t="shared" si="2"/>
        <v>TRAVERSE OBSOLETO</v>
      </c>
      <c r="E63" t="s">
        <v>388</v>
      </c>
      <c r="F63" t="s">
        <v>404</v>
      </c>
    </row>
    <row r="64" spans="1:7" x14ac:dyDescent="0.25">
      <c r="A64" t="s">
        <v>6</v>
      </c>
      <c r="B64" t="s">
        <v>33</v>
      </c>
      <c r="C64" t="str">
        <f>_xlfn.XLOOKUP(A64,SEGMENT!A:A,SEGMENT!B:B)</f>
        <v>SUV-D</v>
      </c>
      <c r="D64" t="str">
        <f t="shared" si="2"/>
        <v>TRAVERSE LT AT</v>
      </c>
      <c r="E64" t="s">
        <v>388</v>
      </c>
      <c r="F64" t="s">
        <v>420</v>
      </c>
    </row>
    <row r="65" spans="1:6" x14ac:dyDescent="0.25">
      <c r="A65" t="s">
        <v>6</v>
      </c>
      <c r="B65" t="s">
        <v>54</v>
      </c>
      <c r="C65" t="str">
        <f>_xlfn.XLOOKUP(A65,SEGMENT!A:A,SEGMENT!B:B)</f>
        <v>SUV-D</v>
      </c>
      <c r="D65" t="str">
        <f t="shared" si="2"/>
        <v>TRAVERSE Z71 AT</v>
      </c>
      <c r="E65" t="s">
        <v>388</v>
      </c>
      <c r="F65" t="s">
        <v>524</v>
      </c>
    </row>
  </sheetData>
  <autoFilter ref="A1:H108" xr:uid="{7D7A491D-886B-47C8-95D8-42364AA1B5D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93B-19FB-46C7-AC1E-80D480163FA8}">
  <dimension ref="A1:H6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85546875" bestFit="1" customWidth="1"/>
    <col min="2" max="2" width="11" bestFit="1" customWidth="1"/>
    <col min="3" max="3" width="11" customWidth="1"/>
    <col min="4" max="4" width="18.42578125" bestFit="1" customWidth="1"/>
    <col min="5" max="5" width="31.85546875" bestFit="1" customWidth="1"/>
  </cols>
  <sheetData>
    <row r="1" spans="1:8" x14ac:dyDescent="0.25">
      <c r="A1" s="2" t="s">
        <v>102</v>
      </c>
      <c r="B1" s="2" t="s">
        <v>48</v>
      </c>
      <c r="C1" s="2" t="s">
        <v>435</v>
      </c>
      <c r="D1" s="2" t="s">
        <v>436</v>
      </c>
      <c r="E1" s="2" t="s">
        <v>103</v>
      </c>
      <c r="F1" s="2" t="s">
        <v>104</v>
      </c>
      <c r="G1" s="2" t="s">
        <v>459</v>
      </c>
      <c r="H1" s="2" t="s">
        <v>105</v>
      </c>
    </row>
    <row r="2" spans="1:8" x14ac:dyDescent="0.25">
      <c r="A2" t="s">
        <v>291</v>
      </c>
      <c r="B2" t="s">
        <v>286</v>
      </c>
      <c r="C2" t="str">
        <f>_xlfn.XLOOKUP(A2,SEGMENT!A:A,SEGMENT!B:B)</f>
        <v>CAR-A</v>
      </c>
      <c r="D2" t="str">
        <f t="shared" ref="D2:D33" si="0">_xlfn.CONCAT(A2," ",B2)</f>
        <v>BEAT OBSOLETO</v>
      </c>
      <c r="E2" t="s">
        <v>469</v>
      </c>
      <c r="F2" t="s">
        <v>489</v>
      </c>
    </row>
    <row r="3" spans="1:8" x14ac:dyDescent="0.25">
      <c r="A3" t="s">
        <v>1</v>
      </c>
      <c r="B3" t="s">
        <v>286</v>
      </c>
      <c r="C3" t="str">
        <f>_xlfn.XLOOKUP(A3,SEGMENT!A:A,SEGMENT!B:B)</f>
        <v>SUV-D</v>
      </c>
      <c r="D3" t="str">
        <f t="shared" si="0"/>
        <v>BLAZER OBSOLETO</v>
      </c>
      <c r="E3" t="s">
        <v>493</v>
      </c>
      <c r="F3" t="s">
        <v>489</v>
      </c>
    </row>
    <row r="4" spans="1:8" x14ac:dyDescent="0.25">
      <c r="A4" t="s">
        <v>251</v>
      </c>
      <c r="B4" t="s">
        <v>286</v>
      </c>
      <c r="C4" t="str">
        <f>_xlfn.XLOOKUP(A4,SEGMENT!A:A,SEGMENT!B:B)</f>
        <v>SPORT</v>
      </c>
      <c r="D4" t="str">
        <f t="shared" si="0"/>
        <v>CAMARO OBSOLETO</v>
      </c>
      <c r="E4" t="s">
        <v>337</v>
      </c>
      <c r="F4" t="s">
        <v>489</v>
      </c>
    </row>
    <row r="5" spans="1:8" x14ac:dyDescent="0.25">
      <c r="A5" t="s">
        <v>22</v>
      </c>
      <c r="B5" t="s">
        <v>286</v>
      </c>
      <c r="C5" t="str">
        <f>_xlfn.XLOOKUP(A5,SEGMENT!A:A,SEGMENT!B:B)</f>
        <v>SUV-C</v>
      </c>
      <c r="D5" t="str">
        <f t="shared" si="0"/>
        <v>CAPTIVA OBSOLETO</v>
      </c>
      <c r="E5" t="s">
        <v>482</v>
      </c>
      <c r="F5" t="s">
        <v>489</v>
      </c>
    </row>
    <row r="6" spans="1:8" x14ac:dyDescent="0.25">
      <c r="A6" t="s">
        <v>22</v>
      </c>
      <c r="B6" t="s">
        <v>286</v>
      </c>
      <c r="C6" t="str">
        <f>_xlfn.XLOOKUP(A6,SEGMENT!A:A,SEGMENT!B:B)</f>
        <v>SUV-C</v>
      </c>
      <c r="D6" t="str">
        <f t="shared" si="0"/>
        <v>CAPTIVA OBSOLETO</v>
      </c>
      <c r="E6" t="s">
        <v>483</v>
      </c>
      <c r="F6" t="s">
        <v>489</v>
      </c>
    </row>
    <row r="7" spans="1:8" x14ac:dyDescent="0.25">
      <c r="A7" t="s">
        <v>22</v>
      </c>
      <c r="B7" t="s">
        <v>286</v>
      </c>
      <c r="C7" t="str">
        <f>_xlfn.XLOOKUP(A7,SEGMENT!A:A,SEGMENT!B:B)</f>
        <v>SUV-C</v>
      </c>
      <c r="D7" t="str">
        <f t="shared" si="0"/>
        <v>CAPTIVA OBSOLETO</v>
      </c>
      <c r="E7" t="s">
        <v>484</v>
      </c>
      <c r="F7" t="s">
        <v>489</v>
      </c>
    </row>
    <row r="8" spans="1:8" x14ac:dyDescent="0.25">
      <c r="A8" t="s">
        <v>22</v>
      </c>
      <c r="B8" t="s">
        <v>286</v>
      </c>
      <c r="C8" t="str">
        <f>_xlfn.XLOOKUP(A8,SEGMENT!A:A,SEGMENT!B:B)</f>
        <v>SUV-C</v>
      </c>
      <c r="D8" t="str">
        <f t="shared" si="0"/>
        <v>CAPTIVA OBSOLETO</v>
      </c>
      <c r="E8" t="s">
        <v>485</v>
      </c>
      <c r="F8" t="s">
        <v>489</v>
      </c>
    </row>
    <row r="9" spans="1:8" x14ac:dyDescent="0.25">
      <c r="A9" t="s">
        <v>38</v>
      </c>
      <c r="B9" t="s">
        <v>65</v>
      </c>
      <c r="C9" t="str">
        <f>_xlfn.XLOOKUP(A9,SEGMENT!A:A,SEGMENT!B:B)</f>
        <v>SUV-C</v>
      </c>
      <c r="D9" t="str">
        <f t="shared" si="0"/>
        <v>CAPTIVA NEV PHEV</v>
      </c>
      <c r="E9" t="s">
        <v>451</v>
      </c>
      <c r="F9" t="s">
        <v>488</v>
      </c>
    </row>
    <row r="10" spans="1:8" x14ac:dyDescent="0.25">
      <c r="A10" t="s">
        <v>38</v>
      </c>
      <c r="B10" t="s">
        <v>99</v>
      </c>
      <c r="C10" t="str">
        <f>_xlfn.XLOOKUP(A10,SEGMENT!A:A,SEGMENT!B:B)</f>
        <v>SUV-C</v>
      </c>
      <c r="D10" t="str">
        <f t="shared" si="0"/>
        <v>CAPTIVA NEV EV</v>
      </c>
      <c r="E10" t="s">
        <v>452</v>
      </c>
      <c r="F10" t="s">
        <v>488</v>
      </c>
    </row>
    <row r="11" spans="1:8" x14ac:dyDescent="0.25">
      <c r="A11" t="s">
        <v>2</v>
      </c>
      <c r="B11" t="s">
        <v>30</v>
      </c>
      <c r="C11" t="str">
        <f>_xlfn.XLOOKUP(A11,SEGMENT!A:A,SEGMENT!B:B)</f>
        <v>SUV-B</v>
      </c>
      <c r="D11" t="str">
        <f t="shared" si="0"/>
        <v>GROOVE RS MT</v>
      </c>
      <c r="E11" t="s">
        <v>453</v>
      </c>
      <c r="F11" t="s">
        <v>488</v>
      </c>
    </row>
    <row r="12" spans="1:8" x14ac:dyDescent="0.25">
      <c r="A12" t="s">
        <v>2</v>
      </c>
      <c r="B12" t="s">
        <v>88</v>
      </c>
      <c r="C12" t="str">
        <f>_xlfn.XLOOKUP(A12,SEGMENT!A:A,SEGMENT!B:B)</f>
        <v>SUV-B</v>
      </c>
      <c r="D12" t="str">
        <f t="shared" si="0"/>
        <v>GROOVE RS CVT</v>
      </c>
      <c r="E12" t="s">
        <v>454</v>
      </c>
      <c r="F12" t="s">
        <v>488</v>
      </c>
    </row>
    <row r="13" spans="1:8" x14ac:dyDescent="0.25">
      <c r="A13" t="s">
        <v>2</v>
      </c>
      <c r="B13" t="s">
        <v>30</v>
      </c>
      <c r="C13" t="str">
        <f>_xlfn.XLOOKUP(A13,SEGMENT!A:A,SEGMENT!B:B)</f>
        <v>SUV-B</v>
      </c>
      <c r="D13" t="str">
        <f t="shared" si="0"/>
        <v>GROOVE RS MT</v>
      </c>
      <c r="E13" t="s">
        <v>124</v>
      </c>
      <c r="F13" t="s">
        <v>488</v>
      </c>
    </row>
    <row r="14" spans="1:8" x14ac:dyDescent="0.25">
      <c r="A14" t="s">
        <v>2</v>
      </c>
      <c r="B14" t="s">
        <v>88</v>
      </c>
      <c r="C14" t="str">
        <f>_xlfn.XLOOKUP(A14,SEGMENT!A:A,SEGMENT!B:B)</f>
        <v>SUV-B</v>
      </c>
      <c r="D14" t="str">
        <f t="shared" si="0"/>
        <v>GROOVE RS CVT</v>
      </c>
      <c r="E14" t="s">
        <v>495</v>
      </c>
      <c r="F14" t="s">
        <v>488</v>
      </c>
    </row>
    <row r="15" spans="1:8" x14ac:dyDescent="0.25">
      <c r="A15" t="s">
        <v>205</v>
      </c>
      <c r="B15" t="s">
        <v>27</v>
      </c>
      <c r="C15" t="str">
        <f>_xlfn.XLOOKUP(A15,SEGMENT!A:A,SEGMENT!B:B)</f>
        <v>PICKUP-C</v>
      </c>
      <c r="D15" t="str">
        <f t="shared" si="0"/>
        <v>MONTANA LT MT</v>
      </c>
      <c r="E15" t="s">
        <v>448</v>
      </c>
      <c r="F15" t="s">
        <v>488</v>
      </c>
    </row>
    <row r="16" spans="1:8" x14ac:dyDescent="0.25">
      <c r="A16" t="s">
        <v>205</v>
      </c>
      <c r="B16" t="s">
        <v>33</v>
      </c>
      <c r="C16" t="str">
        <f>_xlfn.XLOOKUP(A16,SEGMENT!A:A,SEGMENT!B:B)</f>
        <v>PICKUP-C</v>
      </c>
      <c r="D16" t="str">
        <f t="shared" si="0"/>
        <v>MONTANA LT AT</v>
      </c>
      <c r="E16" t="s">
        <v>449</v>
      </c>
      <c r="F16" t="s">
        <v>488</v>
      </c>
    </row>
    <row r="17" spans="1:6" x14ac:dyDescent="0.25">
      <c r="A17" t="s">
        <v>205</v>
      </c>
      <c r="B17" t="s">
        <v>31</v>
      </c>
      <c r="C17" t="str">
        <f>_xlfn.XLOOKUP(A17,SEGMENT!A:A,SEGMENT!B:B)</f>
        <v>PICKUP-C</v>
      </c>
      <c r="D17" t="str">
        <f t="shared" si="0"/>
        <v>MONTANA RS AT</v>
      </c>
      <c r="E17" t="s">
        <v>450</v>
      </c>
      <c r="F17" t="s">
        <v>488</v>
      </c>
    </row>
    <row r="18" spans="1:6" x14ac:dyDescent="0.25">
      <c r="A18" t="s">
        <v>205</v>
      </c>
      <c r="B18" t="s">
        <v>286</v>
      </c>
      <c r="C18" t="str">
        <f>_xlfn.XLOOKUP(A18,SEGMENT!A:A,SEGMENT!B:B)</f>
        <v>PICKUP-C</v>
      </c>
      <c r="D18" t="str">
        <f t="shared" si="0"/>
        <v>MONTANA OBSOLETO</v>
      </c>
      <c r="E18" t="s">
        <v>486</v>
      </c>
      <c r="F18" t="s">
        <v>489</v>
      </c>
    </row>
    <row r="19" spans="1:6" x14ac:dyDescent="0.25">
      <c r="A19" t="s">
        <v>205</v>
      </c>
      <c r="B19" t="s">
        <v>31</v>
      </c>
      <c r="C19" t="str">
        <f>_xlfn.XLOOKUP(A19,SEGMENT!A:A,SEGMENT!B:B)</f>
        <v>PICKUP-C</v>
      </c>
      <c r="D19" t="str">
        <f t="shared" si="0"/>
        <v>MONTANA RS AT</v>
      </c>
      <c r="E19" t="s">
        <v>487</v>
      </c>
      <c r="F19" t="s">
        <v>488</v>
      </c>
    </row>
    <row r="20" spans="1:6" x14ac:dyDescent="0.25">
      <c r="A20" t="s">
        <v>263</v>
      </c>
      <c r="B20" t="s">
        <v>286</v>
      </c>
      <c r="C20" t="str">
        <f>_xlfn.XLOOKUP(A20,SEGMENT!A:A,SEGMENT!B:B)</f>
        <v>VAN-B</v>
      </c>
      <c r="D20" t="str">
        <f t="shared" si="0"/>
        <v>N300 OBSOLETO</v>
      </c>
      <c r="E20" t="s">
        <v>462</v>
      </c>
      <c r="F20" t="s">
        <v>489</v>
      </c>
    </row>
    <row r="21" spans="1:6" x14ac:dyDescent="0.25">
      <c r="A21" t="s">
        <v>357</v>
      </c>
      <c r="B21" t="s">
        <v>286</v>
      </c>
      <c r="C21" t="str">
        <f>_xlfn.XLOOKUP(A21,SEGMENT!A:A,SEGMENT!B:B)</f>
        <v>VAN-B</v>
      </c>
      <c r="D21" t="str">
        <f t="shared" si="0"/>
        <v>N300 MAX OBSOLETO</v>
      </c>
      <c r="E21" t="s">
        <v>460</v>
      </c>
      <c r="F21" t="s">
        <v>489</v>
      </c>
    </row>
    <row r="22" spans="1:6" x14ac:dyDescent="0.25">
      <c r="A22" t="s">
        <v>354</v>
      </c>
      <c r="B22" t="s">
        <v>286</v>
      </c>
      <c r="C22" t="str">
        <f>_xlfn.XLOOKUP(A22,SEGMENT!A:A,SEGMENT!B:B)</f>
        <v>VAN-B</v>
      </c>
      <c r="D22" t="str">
        <f t="shared" si="0"/>
        <v>N300 MOVE OBSOLETO</v>
      </c>
      <c r="E22" t="s">
        <v>461</v>
      </c>
      <c r="F22" t="s">
        <v>489</v>
      </c>
    </row>
    <row r="23" spans="1:6" x14ac:dyDescent="0.25">
      <c r="A23" t="s">
        <v>36</v>
      </c>
      <c r="B23" t="s">
        <v>27</v>
      </c>
      <c r="C23" t="str">
        <f>_xlfn.XLOOKUP(A23,SEGMENT!A:A,SEGMENT!B:B)</f>
        <v>CAR-B</v>
      </c>
      <c r="D23" t="str">
        <f t="shared" si="0"/>
        <v>ONIX LT MT</v>
      </c>
      <c r="E23" t="s">
        <v>439</v>
      </c>
      <c r="F23" t="s">
        <v>488</v>
      </c>
    </row>
    <row r="24" spans="1:6" x14ac:dyDescent="0.25">
      <c r="A24" t="s">
        <v>36</v>
      </c>
      <c r="B24" t="s">
        <v>30</v>
      </c>
      <c r="C24" t="str">
        <f>_xlfn.XLOOKUP(A24,SEGMENT!A:A,SEGMENT!B:B)</f>
        <v>CAR-B</v>
      </c>
      <c r="D24" t="str">
        <f t="shared" si="0"/>
        <v>ONIX RS MT</v>
      </c>
      <c r="E24" t="s">
        <v>440</v>
      </c>
      <c r="F24" t="s">
        <v>488</v>
      </c>
    </row>
    <row r="25" spans="1:6" x14ac:dyDescent="0.25">
      <c r="A25" t="s">
        <v>36</v>
      </c>
      <c r="B25" t="s">
        <v>29</v>
      </c>
      <c r="C25" t="str">
        <f>_xlfn.XLOOKUP(A25,SEGMENT!A:A,SEGMENT!B:B)</f>
        <v>CAR-B</v>
      </c>
      <c r="D25" t="str">
        <f t="shared" si="0"/>
        <v>ONIX PREMIER AT</v>
      </c>
      <c r="E25" t="s">
        <v>441</v>
      </c>
      <c r="F25" t="s">
        <v>488</v>
      </c>
    </row>
    <row r="26" spans="1:6" x14ac:dyDescent="0.25">
      <c r="A26" t="s">
        <v>36</v>
      </c>
      <c r="B26" t="s">
        <v>27</v>
      </c>
      <c r="C26" t="str">
        <f>_xlfn.XLOOKUP(A26,SEGMENT!A:A,SEGMENT!B:B)</f>
        <v>CAR-B</v>
      </c>
      <c r="D26" t="str">
        <f t="shared" si="0"/>
        <v>ONIX LT MT</v>
      </c>
      <c r="E26" t="s">
        <v>457</v>
      </c>
      <c r="F26" t="s">
        <v>488</v>
      </c>
    </row>
    <row r="27" spans="1:6" x14ac:dyDescent="0.25">
      <c r="A27" t="s">
        <v>36</v>
      </c>
      <c r="B27" t="s">
        <v>31</v>
      </c>
      <c r="C27" t="str">
        <f>_xlfn.XLOOKUP(A27,SEGMENT!A:A,SEGMENT!B:B)</f>
        <v>CAR-B</v>
      </c>
      <c r="D27" t="str">
        <f t="shared" si="0"/>
        <v>ONIX RS AT</v>
      </c>
      <c r="E27" t="s">
        <v>458</v>
      </c>
      <c r="F27" t="s">
        <v>488</v>
      </c>
    </row>
    <row r="28" spans="1:6" x14ac:dyDescent="0.25">
      <c r="A28" t="s">
        <v>36</v>
      </c>
      <c r="B28" t="s">
        <v>286</v>
      </c>
      <c r="C28" t="str">
        <f>_xlfn.XLOOKUP(A28,SEGMENT!A:A,SEGMENT!B:B)</f>
        <v>CAR-B</v>
      </c>
      <c r="D28" t="str">
        <f t="shared" si="0"/>
        <v>ONIX OBSOLETO</v>
      </c>
      <c r="E28" t="s">
        <v>315</v>
      </c>
      <c r="F28" t="s">
        <v>489</v>
      </c>
    </row>
    <row r="29" spans="1:6" x14ac:dyDescent="0.25">
      <c r="A29" t="s">
        <v>36</v>
      </c>
      <c r="B29" t="s">
        <v>286</v>
      </c>
      <c r="C29" t="str">
        <f>_xlfn.XLOOKUP(A29,SEGMENT!A:A,SEGMENT!B:B)</f>
        <v>CAR-B</v>
      </c>
      <c r="D29" t="str">
        <f t="shared" si="0"/>
        <v>ONIX OBSOLETO</v>
      </c>
      <c r="E29" t="s">
        <v>316</v>
      </c>
      <c r="F29" t="s">
        <v>489</v>
      </c>
    </row>
    <row r="30" spans="1:6" x14ac:dyDescent="0.25">
      <c r="A30" t="s">
        <v>36</v>
      </c>
      <c r="B30" t="s">
        <v>286</v>
      </c>
      <c r="C30" t="str">
        <f>_xlfn.XLOOKUP(A30,SEGMENT!A:A,SEGMENT!B:B)</f>
        <v>CAR-B</v>
      </c>
      <c r="D30" t="str">
        <f t="shared" si="0"/>
        <v>ONIX OBSOLETO</v>
      </c>
      <c r="E30" t="s">
        <v>317</v>
      </c>
      <c r="F30" t="s">
        <v>489</v>
      </c>
    </row>
    <row r="31" spans="1:6" x14ac:dyDescent="0.25">
      <c r="A31" t="s">
        <v>36</v>
      </c>
      <c r="B31" t="s">
        <v>286</v>
      </c>
      <c r="C31" t="str">
        <f>_xlfn.XLOOKUP(A31,SEGMENT!A:A,SEGMENT!B:B)</f>
        <v>CAR-B</v>
      </c>
      <c r="D31" t="str">
        <f t="shared" si="0"/>
        <v>ONIX OBSOLETO</v>
      </c>
      <c r="E31" t="s">
        <v>464</v>
      </c>
      <c r="F31" t="s">
        <v>489</v>
      </c>
    </row>
    <row r="32" spans="1:6" x14ac:dyDescent="0.25">
      <c r="A32" t="s">
        <v>36</v>
      </c>
      <c r="B32" t="s">
        <v>27</v>
      </c>
      <c r="C32" t="str">
        <f>_xlfn.XLOOKUP(A32,SEGMENT!A:A,SEGMENT!B:B)</f>
        <v>CAR-B</v>
      </c>
      <c r="D32" t="str">
        <f t="shared" si="0"/>
        <v>ONIX LT MT</v>
      </c>
      <c r="E32" t="s">
        <v>465</v>
      </c>
      <c r="F32" t="s">
        <v>488</v>
      </c>
    </row>
    <row r="33" spans="1:6" x14ac:dyDescent="0.25">
      <c r="A33" t="s">
        <v>36</v>
      </c>
      <c r="B33" t="s">
        <v>30</v>
      </c>
      <c r="C33" t="str">
        <f>_xlfn.XLOOKUP(A33,SEGMENT!A:A,SEGMENT!B:B)</f>
        <v>CAR-B</v>
      </c>
      <c r="D33" t="str">
        <f t="shared" si="0"/>
        <v>ONIX RS MT</v>
      </c>
      <c r="E33" t="s">
        <v>466</v>
      </c>
      <c r="F33" t="s">
        <v>488</v>
      </c>
    </row>
    <row r="34" spans="1:6" x14ac:dyDescent="0.25">
      <c r="A34" t="s">
        <v>36</v>
      </c>
      <c r="B34" t="s">
        <v>286</v>
      </c>
      <c r="C34" t="str">
        <f>_xlfn.XLOOKUP(A34,SEGMENT!A:A,SEGMENT!B:B)</f>
        <v>CAR-B</v>
      </c>
      <c r="D34" t="str">
        <f t="shared" ref="D34:D65" si="1">_xlfn.CONCAT(A34," ",B34)</f>
        <v>ONIX OBSOLETO</v>
      </c>
      <c r="E34" t="s">
        <v>467</v>
      </c>
      <c r="F34" t="s">
        <v>489</v>
      </c>
    </row>
    <row r="35" spans="1:6" x14ac:dyDescent="0.25">
      <c r="A35" t="s">
        <v>36</v>
      </c>
      <c r="B35" t="s">
        <v>29</v>
      </c>
      <c r="C35" t="str">
        <f>_xlfn.XLOOKUP(A35,SEGMENT!A:A,SEGMENT!B:B)</f>
        <v>CAR-B</v>
      </c>
      <c r="D35" t="str">
        <f t="shared" si="1"/>
        <v>ONIX PREMIER AT</v>
      </c>
      <c r="E35" t="s">
        <v>468</v>
      </c>
      <c r="F35" t="s">
        <v>488</v>
      </c>
    </row>
    <row r="36" spans="1:6" x14ac:dyDescent="0.25">
      <c r="A36" t="s">
        <v>497</v>
      </c>
      <c r="B36" t="s">
        <v>286</v>
      </c>
      <c r="C36" t="str">
        <f>_xlfn.XLOOKUP(A36,SEGMENT!A:A,SEGMENT!B:B)</f>
        <v>CAR-B</v>
      </c>
      <c r="D36" t="str">
        <f t="shared" si="1"/>
        <v>ONIX NB OBSOLETO</v>
      </c>
      <c r="E36" t="s">
        <v>473</v>
      </c>
      <c r="F36" t="s">
        <v>489</v>
      </c>
    </row>
    <row r="37" spans="1:6" x14ac:dyDescent="0.25">
      <c r="A37" t="s">
        <v>497</v>
      </c>
      <c r="B37" t="s">
        <v>286</v>
      </c>
      <c r="C37" t="str">
        <f>_xlfn.XLOOKUP(A37,SEGMENT!A:A,SEGMENT!B:B)</f>
        <v>CAR-B</v>
      </c>
      <c r="D37" t="str">
        <f t="shared" si="1"/>
        <v>ONIX NB OBSOLETO</v>
      </c>
      <c r="E37" t="s">
        <v>474</v>
      </c>
      <c r="F37" t="s">
        <v>489</v>
      </c>
    </row>
    <row r="38" spans="1:6" x14ac:dyDescent="0.25">
      <c r="A38" t="s">
        <v>497</v>
      </c>
      <c r="B38" t="s">
        <v>286</v>
      </c>
      <c r="C38" t="str">
        <f>_xlfn.XLOOKUP(A38,SEGMENT!A:A,SEGMENT!B:B)</f>
        <v>CAR-B</v>
      </c>
      <c r="D38" t="str">
        <f t="shared" si="1"/>
        <v>ONIX NB OBSOLETO</v>
      </c>
      <c r="E38" t="s">
        <v>475</v>
      </c>
      <c r="F38" t="s">
        <v>489</v>
      </c>
    </row>
    <row r="39" spans="1:6" x14ac:dyDescent="0.25">
      <c r="A39" t="s">
        <v>282</v>
      </c>
      <c r="B39" t="s">
        <v>286</v>
      </c>
      <c r="C39" t="str">
        <f>_xlfn.XLOOKUP(A39,SEGMENT!A:A,SEGMENT!B:B)</f>
        <v>CAR-B</v>
      </c>
      <c r="D39" t="str">
        <f t="shared" si="1"/>
        <v>SAIL OBSOLETO</v>
      </c>
      <c r="E39" t="s">
        <v>470</v>
      </c>
      <c r="F39" t="s">
        <v>489</v>
      </c>
    </row>
    <row r="40" spans="1:6" x14ac:dyDescent="0.25">
      <c r="A40" t="s">
        <v>282</v>
      </c>
      <c r="B40" t="s">
        <v>286</v>
      </c>
      <c r="C40" t="str">
        <f>_xlfn.XLOOKUP(A40,SEGMENT!A:A,SEGMENT!B:B)</f>
        <v>CAR-B</v>
      </c>
      <c r="D40" t="str">
        <f t="shared" si="1"/>
        <v>SAIL OBSOLETO</v>
      </c>
      <c r="E40" t="s">
        <v>471</v>
      </c>
      <c r="F40" t="s">
        <v>489</v>
      </c>
    </row>
    <row r="41" spans="1:6" x14ac:dyDescent="0.25">
      <c r="A41" t="s">
        <v>282</v>
      </c>
      <c r="B41" t="s">
        <v>286</v>
      </c>
      <c r="C41" t="str">
        <f>_xlfn.XLOOKUP(A41,SEGMENT!A:A,SEGMENT!B:B)</f>
        <v>CAR-B</v>
      </c>
      <c r="D41" t="str">
        <f t="shared" si="1"/>
        <v>SAIL OBSOLETO</v>
      </c>
      <c r="E41" t="s">
        <v>472</v>
      </c>
      <c r="F41" t="s">
        <v>489</v>
      </c>
    </row>
    <row r="42" spans="1:6" x14ac:dyDescent="0.25">
      <c r="A42" t="s">
        <v>3</v>
      </c>
      <c r="B42" t="s">
        <v>54</v>
      </c>
      <c r="C42" t="str">
        <f>_xlfn.XLOOKUP(A42,SEGMENT!A:A,SEGMENT!B:B)</f>
        <v>PICKUP-E</v>
      </c>
      <c r="D42" t="str">
        <f t="shared" si="1"/>
        <v>SILVERADO Z71 AT</v>
      </c>
      <c r="E42" t="s">
        <v>455</v>
      </c>
      <c r="F42" t="s">
        <v>488</v>
      </c>
    </row>
    <row r="43" spans="1:6" x14ac:dyDescent="0.25">
      <c r="A43" t="s">
        <v>3</v>
      </c>
      <c r="B43" t="s">
        <v>54</v>
      </c>
      <c r="C43" t="str">
        <f>_xlfn.XLOOKUP(A43,SEGMENT!A:A,SEGMENT!B:B)</f>
        <v>PICKUP-E</v>
      </c>
      <c r="D43" t="str">
        <f t="shared" si="1"/>
        <v>SILVERADO Z71 AT</v>
      </c>
      <c r="E43" t="s">
        <v>3</v>
      </c>
      <c r="F43" t="s">
        <v>488</v>
      </c>
    </row>
    <row r="44" spans="1:6" x14ac:dyDescent="0.25">
      <c r="A44" t="s">
        <v>499</v>
      </c>
      <c r="B44" t="s">
        <v>286</v>
      </c>
      <c r="C44" t="str">
        <f>_xlfn.XLOOKUP(A44,SEGMENT!A:A,SEGMENT!B:B)</f>
        <v>CAR-A</v>
      </c>
      <c r="D44" t="str">
        <f t="shared" si="1"/>
        <v>SPARK OBSOLETO</v>
      </c>
      <c r="E44" t="s">
        <v>463</v>
      </c>
      <c r="F44" t="s">
        <v>489</v>
      </c>
    </row>
    <row r="45" spans="1:6" x14ac:dyDescent="0.25">
      <c r="A45" t="s">
        <v>24</v>
      </c>
      <c r="B45" t="s">
        <v>64</v>
      </c>
      <c r="C45" t="str">
        <f>_xlfn.XLOOKUP(A45,SEGMENT!A:A,SEGMENT!B:B)</f>
        <v>SUV-B</v>
      </c>
      <c r="D45" t="str">
        <f t="shared" si="1"/>
        <v>SPARK EUV EUV</v>
      </c>
      <c r="E45" t="s">
        <v>411</v>
      </c>
      <c r="F45" t="s">
        <v>488</v>
      </c>
    </row>
    <row r="46" spans="1:6" x14ac:dyDescent="0.25">
      <c r="A46" t="s">
        <v>4</v>
      </c>
      <c r="B46" t="s">
        <v>54</v>
      </c>
      <c r="C46" t="str">
        <f>_xlfn.XLOOKUP(A46,SEGMENT!A:A,SEGMENT!B:B)</f>
        <v>SUV-E</v>
      </c>
      <c r="D46" t="str">
        <f t="shared" si="1"/>
        <v>SUBURBAN Z71 AT</v>
      </c>
      <c r="E46" t="s">
        <v>4</v>
      </c>
      <c r="F46" t="s">
        <v>488</v>
      </c>
    </row>
    <row r="47" spans="1:6" x14ac:dyDescent="0.25">
      <c r="A47" t="s">
        <v>4</v>
      </c>
      <c r="B47" t="s">
        <v>286</v>
      </c>
      <c r="C47" t="str">
        <f>_xlfn.XLOOKUP(A47,SEGMENT!A:A,SEGMENT!B:B)</f>
        <v>SUV-E</v>
      </c>
      <c r="D47" t="str">
        <f t="shared" si="1"/>
        <v>SUBURBAN OBSOLETO</v>
      </c>
      <c r="E47" t="s">
        <v>164</v>
      </c>
      <c r="F47" t="s">
        <v>489</v>
      </c>
    </row>
    <row r="48" spans="1:6" x14ac:dyDescent="0.25">
      <c r="A48" t="s">
        <v>5</v>
      </c>
      <c r="B48" t="s">
        <v>54</v>
      </c>
      <c r="C48" t="str">
        <f>_xlfn.XLOOKUP(A48,SEGMENT!A:A,SEGMENT!B:B)</f>
        <v>SUV-E</v>
      </c>
      <c r="D48" t="str">
        <f t="shared" si="1"/>
        <v>TAHOE Z71 AT</v>
      </c>
      <c r="E48" t="s">
        <v>5</v>
      </c>
      <c r="F48" t="s">
        <v>488</v>
      </c>
    </row>
    <row r="49" spans="1:6" x14ac:dyDescent="0.25">
      <c r="A49" t="s">
        <v>5</v>
      </c>
      <c r="B49" t="s">
        <v>286</v>
      </c>
      <c r="C49" t="str">
        <f>_xlfn.XLOOKUP(A49,SEGMENT!A:A,SEGMENT!B:B)</f>
        <v>SUV-E</v>
      </c>
      <c r="D49" t="str">
        <f t="shared" si="1"/>
        <v>TAHOE OBSOLETO</v>
      </c>
      <c r="E49" t="s">
        <v>494</v>
      </c>
      <c r="F49" t="s">
        <v>489</v>
      </c>
    </row>
    <row r="50" spans="1:6" x14ac:dyDescent="0.25">
      <c r="A50" t="s">
        <v>20</v>
      </c>
      <c r="B50" t="s">
        <v>32</v>
      </c>
      <c r="C50" t="str">
        <f>_xlfn.XLOOKUP(A50,SEGMENT!A:A,SEGMENT!B:B)</f>
        <v>SUV-B</v>
      </c>
      <c r="D50" t="str">
        <f t="shared" si="1"/>
        <v>TRACKER LS MT</v>
      </c>
      <c r="E50" t="s">
        <v>442</v>
      </c>
      <c r="F50" t="s">
        <v>488</v>
      </c>
    </row>
    <row r="51" spans="1:6" x14ac:dyDescent="0.25">
      <c r="A51" t="s">
        <v>20</v>
      </c>
      <c r="B51" t="s">
        <v>63</v>
      </c>
      <c r="C51" t="str">
        <f>_xlfn.XLOOKUP(A51,SEGMENT!A:A,SEGMENT!B:B)</f>
        <v>SUV-B</v>
      </c>
      <c r="D51" t="str">
        <f t="shared" si="1"/>
        <v>TRACKER LS AT</v>
      </c>
      <c r="E51" t="s">
        <v>443</v>
      </c>
      <c r="F51" t="s">
        <v>488</v>
      </c>
    </row>
    <row r="52" spans="1:6" x14ac:dyDescent="0.25">
      <c r="A52" t="s">
        <v>20</v>
      </c>
      <c r="B52" t="s">
        <v>28</v>
      </c>
      <c r="C52" t="str">
        <f>_xlfn.XLOOKUP(A52,SEGMENT!A:A,SEGMENT!B:B)</f>
        <v>SUV-B</v>
      </c>
      <c r="D52" t="str">
        <f t="shared" si="1"/>
        <v>TRACKER LTZ MT</v>
      </c>
      <c r="E52" t="s">
        <v>444</v>
      </c>
      <c r="F52" t="s">
        <v>488</v>
      </c>
    </row>
    <row r="53" spans="1:6" x14ac:dyDescent="0.25">
      <c r="A53" t="s">
        <v>20</v>
      </c>
      <c r="B53" t="s">
        <v>34</v>
      </c>
      <c r="C53" t="str">
        <f>_xlfn.XLOOKUP(A53,SEGMENT!A:A,SEGMENT!B:B)</f>
        <v>SUV-B</v>
      </c>
      <c r="D53" t="str">
        <f t="shared" si="1"/>
        <v>TRACKER LTZ AT</v>
      </c>
      <c r="E53" t="s">
        <v>445</v>
      </c>
      <c r="F53" t="s">
        <v>488</v>
      </c>
    </row>
    <row r="54" spans="1:6" x14ac:dyDescent="0.25">
      <c r="A54" t="s">
        <v>20</v>
      </c>
      <c r="B54" t="s">
        <v>31</v>
      </c>
      <c r="C54" t="str">
        <f>_xlfn.XLOOKUP(A54,SEGMENT!A:A,SEGMENT!B:B)</f>
        <v>SUV-B</v>
      </c>
      <c r="D54" t="str">
        <f t="shared" si="1"/>
        <v>TRACKER RS AT</v>
      </c>
      <c r="E54" t="s">
        <v>446</v>
      </c>
      <c r="F54" t="s">
        <v>488</v>
      </c>
    </row>
    <row r="55" spans="1:6" x14ac:dyDescent="0.25">
      <c r="A55" t="s">
        <v>20</v>
      </c>
      <c r="B55" t="s">
        <v>29</v>
      </c>
      <c r="C55" t="str">
        <f>_xlfn.XLOOKUP(A55,SEGMENT!A:A,SEGMENT!B:B)</f>
        <v>SUV-B</v>
      </c>
      <c r="D55" t="str">
        <f t="shared" si="1"/>
        <v>TRACKER PREMIER AT</v>
      </c>
      <c r="E55" t="s">
        <v>447</v>
      </c>
      <c r="F55" t="s">
        <v>488</v>
      </c>
    </row>
    <row r="56" spans="1:6" x14ac:dyDescent="0.25">
      <c r="A56" t="s">
        <v>20</v>
      </c>
      <c r="B56" t="s">
        <v>286</v>
      </c>
      <c r="C56" t="str">
        <f>_xlfn.XLOOKUP(A56,SEGMENT!A:A,SEGMENT!B:B)</f>
        <v>SUV-B</v>
      </c>
      <c r="D56" t="str">
        <f t="shared" si="1"/>
        <v>TRACKER OBSOLETO</v>
      </c>
      <c r="E56" t="s">
        <v>343</v>
      </c>
      <c r="F56" t="s">
        <v>489</v>
      </c>
    </row>
    <row r="57" spans="1:6" x14ac:dyDescent="0.25">
      <c r="A57" t="s">
        <v>20</v>
      </c>
      <c r="B57" t="s">
        <v>286</v>
      </c>
      <c r="C57" t="str">
        <f>_xlfn.XLOOKUP(A57,SEGMENT!A:A,SEGMENT!B:B)</f>
        <v>SUV-B</v>
      </c>
      <c r="D57" t="str">
        <f t="shared" si="1"/>
        <v>TRACKER OBSOLETO</v>
      </c>
      <c r="E57" t="s">
        <v>344</v>
      </c>
      <c r="F57" t="s">
        <v>489</v>
      </c>
    </row>
    <row r="58" spans="1:6" x14ac:dyDescent="0.25">
      <c r="A58" t="s">
        <v>20</v>
      </c>
      <c r="B58" t="s">
        <v>32</v>
      </c>
      <c r="C58" t="str">
        <f>_xlfn.XLOOKUP(A58,SEGMENT!A:A,SEGMENT!B:B)</f>
        <v>SUV-B</v>
      </c>
      <c r="D58" t="str">
        <f t="shared" si="1"/>
        <v>TRACKER LS MT</v>
      </c>
      <c r="E58" t="s">
        <v>476</v>
      </c>
      <c r="F58" t="s">
        <v>488</v>
      </c>
    </row>
    <row r="59" spans="1:6" x14ac:dyDescent="0.25">
      <c r="A59" t="s">
        <v>20</v>
      </c>
      <c r="B59" t="s">
        <v>28</v>
      </c>
      <c r="C59" t="str">
        <f>_xlfn.XLOOKUP(A59,SEGMENT!A:A,SEGMENT!B:B)</f>
        <v>SUV-B</v>
      </c>
      <c r="D59" t="str">
        <f t="shared" si="1"/>
        <v>TRACKER LTZ MT</v>
      </c>
      <c r="E59" t="s">
        <v>477</v>
      </c>
      <c r="F59" t="s">
        <v>488</v>
      </c>
    </row>
    <row r="60" spans="1:6" x14ac:dyDescent="0.25">
      <c r="A60" t="s">
        <v>20</v>
      </c>
      <c r="B60" t="s">
        <v>63</v>
      </c>
      <c r="C60" t="str">
        <f>_xlfn.XLOOKUP(A60,SEGMENT!A:A,SEGMENT!B:B)</f>
        <v>SUV-B</v>
      </c>
      <c r="D60" t="str">
        <f t="shared" si="1"/>
        <v>TRACKER LS AT</v>
      </c>
      <c r="E60" t="s">
        <v>478</v>
      </c>
      <c r="F60" t="s">
        <v>488</v>
      </c>
    </row>
    <row r="61" spans="1:6" x14ac:dyDescent="0.25">
      <c r="A61" t="s">
        <v>20</v>
      </c>
      <c r="B61" t="s">
        <v>34</v>
      </c>
      <c r="C61" t="str">
        <f>_xlfn.XLOOKUP(A61,SEGMENT!A:A,SEGMENT!B:B)</f>
        <v>SUV-B</v>
      </c>
      <c r="D61" t="str">
        <f t="shared" si="1"/>
        <v>TRACKER LTZ AT</v>
      </c>
      <c r="E61" t="s">
        <v>479</v>
      </c>
      <c r="F61" t="s">
        <v>488</v>
      </c>
    </row>
    <row r="62" spans="1:6" x14ac:dyDescent="0.25">
      <c r="A62" t="s">
        <v>20</v>
      </c>
      <c r="B62" t="s">
        <v>31</v>
      </c>
      <c r="C62" t="str">
        <f>_xlfn.XLOOKUP(A62,SEGMENT!A:A,SEGMENT!B:B)</f>
        <v>SUV-B</v>
      </c>
      <c r="D62" t="str">
        <f t="shared" si="1"/>
        <v>TRACKER RS AT</v>
      </c>
      <c r="E62" t="s">
        <v>480</v>
      </c>
      <c r="F62" t="s">
        <v>488</v>
      </c>
    </row>
    <row r="63" spans="1:6" x14ac:dyDescent="0.25">
      <c r="A63" t="s">
        <v>20</v>
      </c>
      <c r="B63" t="s">
        <v>29</v>
      </c>
      <c r="C63" t="str">
        <f>_xlfn.XLOOKUP(A63,SEGMENT!A:A,SEGMENT!B:B)</f>
        <v>SUV-B</v>
      </c>
      <c r="D63" t="str">
        <f t="shared" si="1"/>
        <v>TRACKER PREMIER AT</v>
      </c>
      <c r="E63" t="s">
        <v>481</v>
      </c>
      <c r="F63" t="s">
        <v>488</v>
      </c>
    </row>
    <row r="64" spans="1:6" x14ac:dyDescent="0.25">
      <c r="A64" t="s">
        <v>6</v>
      </c>
      <c r="B64" t="s">
        <v>33</v>
      </c>
      <c r="C64" t="str">
        <f>_xlfn.XLOOKUP(A64,SEGMENT!A:A,SEGMENT!B:B)</f>
        <v>SUV-D</v>
      </c>
      <c r="D64" t="str">
        <f t="shared" si="1"/>
        <v>TRAVERSE LT AT</v>
      </c>
      <c r="E64" t="s">
        <v>456</v>
      </c>
      <c r="F64" t="s">
        <v>488</v>
      </c>
    </row>
    <row r="65" spans="1:6" x14ac:dyDescent="0.25">
      <c r="A65" t="s">
        <v>6</v>
      </c>
      <c r="B65" t="s">
        <v>33</v>
      </c>
      <c r="C65" t="str">
        <f>_xlfn.XLOOKUP(A65,SEGMENT!A:A,SEGMENT!B:B)</f>
        <v>SUV-D</v>
      </c>
      <c r="D65" t="str">
        <f t="shared" si="1"/>
        <v>TRAVERSE LT AT</v>
      </c>
      <c r="E65" t="s">
        <v>6</v>
      </c>
      <c r="F65" t="s">
        <v>488</v>
      </c>
    </row>
    <row r="66" spans="1:6" x14ac:dyDescent="0.25">
      <c r="A66" t="s">
        <v>6</v>
      </c>
      <c r="B66" t="s">
        <v>54</v>
      </c>
      <c r="C66" t="str">
        <f>_xlfn.XLOOKUP(A66,SEGMENT!A:A,SEGMENT!B:B)</f>
        <v>SUV-D</v>
      </c>
      <c r="D66" t="str">
        <f t="shared" ref="D66" si="2">_xlfn.CONCAT(A66," ",B66)</f>
        <v>TRAVERSE Z71 AT</v>
      </c>
      <c r="E66" t="s">
        <v>492</v>
      </c>
      <c r="F66" t="s">
        <v>488</v>
      </c>
    </row>
  </sheetData>
  <autoFilter ref="A1:H109" xr:uid="{FB5A493B-19FB-46C7-AC1E-80D480163FA8}"/>
  <sortState xmlns:xlrd2="http://schemas.microsoft.com/office/spreadsheetml/2017/richdata2" ref="A2:H66">
    <sortCondition ref="A1:A6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</vt:lpstr>
      <vt:lpstr>SEGMENT</vt:lpstr>
      <vt:lpstr>CHILE</vt:lpstr>
      <vt:lpstr>PERU</vt:lpstr>
      <vt:lpstr>ECUADOR</vt:lpstr>
      <vt:lpstr>COLOMBIA</vt:lpstr>
      <vt:lpstr>BOLIVIA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Borja Abad</dc:creator>
  <cp:lastModifiedBy>Alejandro Borja Abad</cp:lastModifiedBy>
  <dcterms:created xsi:type="dcterms:W3CDTF">2026-02-04T13:38:09Z</dcterms:created>
  <dcterms:modified xsi:type="dcterms:W3CDTF">2026-06-24T20:28:48Z</dcterms:modified>
</cp:coreProperties>
</file>